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a\Documents\GitHub\dcm-for-design\solutions\main2_11-11-25\"/>
    </mc:Choice>
  </mc:AlternateContent>
  <xr:revisionPtr revIDLastSave="0" documentId="13_ncr:1_{8226E1CE-4093-46C7-8A7F-77C61357F0AA}" xr6:coauthVersionLast="47" xr6:coauthVersionMax="47" xr10:uidLastSave="{00000000-0000-0000-0000-000000000000}"/>
  <bookViews>
    <workbookView xWindow="30240" yWindow="1440" windowWidth="21600" windowHeight="11235" xr2:uid="{A302BD4A-C0AD-47D8-8200-3024CB87BE5A}"/>
  </bookViews>
  <sheets>
    <sheet name="final" sheetId="4" r:id="rId1"/>
    <sheet name="psi_cpu_comparison" sheetId="2" r:id="rId2"/>
    <sheet name="psi_cpu_comparison_refactored_w" sheetId="3" r:id="rId3"/>
  </sheets>
  <definedNames>
    <definedName name="_xlnm._FilterDatabase" localSheetId="0" hidden="1">final!$A$3:$K$3</definedName>
    <definedName name="_xlnm._FilterDatabase" localSheetId="1" hidden="1">psi_cpu_comparison!$L$3:$R$3</definedName>
    <definedName name="_xlnm._FilterDatabase" localSheetId="2" hidden="1">psi_cpu_comparison_refactored_w!$A$1:$O$22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4" l="1"/>
  <c r="J21" i="4"/>
  <c r="K20" i="4"/>
  <c r="J20" i="4"/>
  <c r="K24" i="4"/>
  <c r="J24" i="4"/>
  <c r="K17" i="4"/>
  <c r="J17" i="4"/>
  <c r="K19" i="4"/>
  <c r="J19" i="4"/>
  <c r="K23" i="4"/>
  <c r="J23" i="4"/>
  <c r="K18" i="4"/>
  <c r="J18" i="4"/>
  <c r="K14" i="4"/>
  <c r="J14" i="4"/>
  <c r="K22" i="4"/>
  <c r="J22" i="4"/>
  <c r="K15" i="4"/>
  <c r="J15" i="4"/>
  <c r="K11" i="4"/>
  <c r="J11" i="4"/>
  <c r="K16" i="4"/>
  <c r="J16" i="4"/>
  <c r="K12" i="4"/>
  <c r="J12" i="4"/>
  <c r="K8" i="4"/>
  <c r="J8" i="4"/>
  <c r="K13" i="4"/>
  <c r="J13" i="4"/>
  <c r="K9" i="4"/>
  <c r="J9" i="4"/>
  <c r="K10" i="4"/>
  <c r="J10" i="4"/>
  <c r="K5" i="4"/>
  <c r="J5" i="4"/>
  <c r="K6" i="4"/>
  <c r="J6" i="4"/>
  <c r="K7" i="4"/>
  <c r="J7" i="4"/>
  <c r="K4" i="4"/>
  <c r="J4" i="4"/>
  <c r="I7" i="4"/>
  <c r="I6" i="4"/>
  <c r="I5" i="4"/>
  <c r="I10" i="4"/>
  <c r="I9" i="4"/>
  <c r="I13" i="4"/>
  <c r="I8" i="4"/>
  <c r="I12" i="4"/>
  <c r="I16" i="4"/>
  <c r="I11" i="4"/>
  <c r="I15" i="4"/>
  <c r="I22" i="4"/>
  <c r="I14" i="4"/>
  <c r="I18" i="4"/>
  <c r="I23" i="4"/>
  <c r="I19" i="4"/>
  <c r="I17" i="4"/>
  <c r="I24" i="4"/>
  <c r="I20" i="4"/>
  <c r="I21" i="4"/>
  <c r="I4" i="4"/>
  <c r="H7" i="4"/>
  <c r="H6" i="4"/>
  <c r="H5" i="4"/>
  <c r="H10" i="4"/>
  <c r="H9" i="4"/>
  <c r="H13" i="4"/>
  <c r="H8" i="4"/>
  <c r="H12" i="4"/>
  <c r="H16" i="4"/>
  <c r="H11" i="4"/>
  <c r="H15" i="4"/>
  <c r="H22" i="4"/>
  <c r="H14" i="4"/>
  <c r="H18" i="4"/>
  <c r="H23" i="4"/>
  <c r="H19" i="4"/>
  <c r="H17" i="4"/>
  <c r="H24" i="4"/>
  <c r="H20" i="4"/>
  <c r="H21" i="4"/>
  <c r="H4" i="4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4" i="2"/>
</calcChain>
</file>

<file path=xl/sharedStrings.xml><?xml version="1.0" encoding="utf-8"?>
<sst xmlns="http://schemas.openxmlformats.org/spreadsheetml/2006/main" count="150" uniqueCount="80">
  <si>
    <t>model</t>
  </si>
  <si>
    <t>psi_prime_real</t>
  </si>
  <si>
    <t>psi_prime_small</t>
  </si>
  <si>
    <t>psi_prime_big</t>
  </si>
  <si>
    <t>cpu_per_call_real_sec</t>
  </si>
  <si>
    <t>cpu_per_call_small_sec</t>
  </si>
  <si>
    <t>cpu_per_call_big_sec</t>
  </si>
  <si>
    <t>cpu_per_call_epa_sec</t>
  </si>
  <si>
    <t>psi_prime_epa</t>
  </si>
  <si>
    <t>psi_prime_epa_ICE</t>
  </si>
  <si>
    <t>psi_prime_epa_HEV</t>
  </si>
  <si>
    <t>psi_prime_epa_PHEV</t>
  </si>
  <si>
    <t>psi_prime_epa_BEV</t>
  </si>
  <si>
    <t>psi_prime_epa_real_lineage</t>
  </si>
  <si>
    <t>psi_prime_epa_created</t>
  </si>
  <si>
    <t>MXL1k_none_pref</t>
  </si>
  <si>
    <t>MXL500_none_pref</t>
  </si>
  <si>
    <t>MXL1k_none_wtp</t>
  </si>
  <si>
    <t>LC8_NL_pref</t>
  </si>
  <si>
    <t>MXL100_none_pref</t>
  </si>
  <si>
    <t>MXL500_none_wtp</t>
  </si>
  <si>
    <t>LC8_CNL_pref</t>
  </si>
  <si>
    <t>LCL6_NL_pref</t>
  </si>
  <si>
    <t>MXL100_none_wtp</t>
  </si>
  <si>
    <t>LCL6_CNL_pref</t>
  </si>
  <si>
    <t>LCL4_NL_pref</t>
  </si>
  <si>
    <t>LCL8_none_pref</t>
  </si>
  <si>
    <t>LCL4_CNL_pref</t>
  </si>
  <si>
    <t>LCL2_NL_pref</t>
  </si>
  <si>
    <t>LCL6_none_pref</t>
  </si>
  <si>
    <t>LCL2_CNL_pref</t>
  </si>
  <si>
    <t>LCL4_none_pref</t>
  </si>
  <si>
    <t>NL_NL_pref</t>
  </si>
  <si>
    <t>CNL_CNL_pref</t>
  </si>
  <si>
    <t>LCL2_none_pref</t>
  </si>
  <si>
    <t>MNL_none_pref</t>
  </si>
  <si>
    <t>Raw Data</t>
  </si>
  <si>
    <t>Normalized (between best &amp; worst)</t>
  </si>
  <si>
    <t>Dataset</t>
  </si>
  <si>
    <t>Conjoint Dataset</t>
  </si>
  <si>
    <t>Small Toy (3 veh.)</t>
  </si>
  <si>
    <t>Large Toy (300 veh.)</t>
  </si>
  <si>
    <t>EPA  (1100 veh.)</t>
  </si>
  <si>
    <t>psi_prime</t>
  </si>
  <si>
    <t>cpu_per_call_sec</t>
  </si>
  <si>
    <t>cpu_per_call_real_sec (LL func)</t>
  </si>
  <si>
    <t>cut</t>
  </si>
  <si>
    <t>EPA  (1,100 veh.)</t>
  </si>
  <si>
    <t>Conjoint  (11,010 obs)</t>
  </si>
  <si>
    <t>note has fewer observations, and only presenting point values w/o uncertanty</t>
  </si>
  <si>
    <t>Model</t>
  </si>
  <si>
    <t>EPA  (1,168 veh.)</t>
  </si>
  <si>
    <t>Raw Values</t>
  </si>
  <si>
    <t>Conjoint  (11,010 obs.)</t>
  </si>
  <si>
    <t>Comp. Cost 
(CPU s)</t>
  </si>
  <si>
    <t>Subs. Inv. 
(psi')</t>
  </si>
  <si>
    <t>Normalized Values</t>
  </si>
  <si>
    <t>Og order</t>
  </si>
  <si>
    <t>Real Order</t>
  </si>
  <si>
    <t>MNL</t>
  </si>
  <si>
    <t>NL</t>
  </si>
  <si>
    <t>CNL</t>
  </si>
  <si>
    <t>LCL (2 cl.)</t>
  </si>
  <si>
    <t>LC-NL (2 cl.)</t>
  </si>
  <si>
    <t>LC-CNL (2 cl.)</t>
  </si>
  <si>
    <t>LCL (4 cl.)</t>
  </si>
  <si>
    <t>LC-NL (4 cl.)</t>
  </si>
  <si>
    <t>LC-CNL (4 cl.)</t>
  </si>
  <si>
    <t>LCL (6 cl.)</t>
  </si>
  <si>
    <t>LC-NL (6 cl.)</t>
  </si>
  <si>
    <t>LC-CNL (6 cl.)</t>
  </si>
  <si>
    <t>LCL (8 cl.)</t>
  </si>
  <si>
    <t>LC-NL (8 cl.)</t>
  </si>
  <si>
    <t>LC-CNL (8 cl.)</t>
  </si>
  <si>
    <t>MXL (Pref, 100 dr.)</t>
  </si>
  <si>
    <t>MXL (Pref, 500 dr.)</t>
  </si>
  <si>
    <t>MXL (Pref, 1k dr.)</t>
  </si>
  <si>
    <t>MXL (WTP, 100 dr.)</t>
  </si>
  <si>
    <t>MXL (WTP, 500 dr.)</t>
  </si>
  <si>
    <t>MXL (WTP, 1k dr.)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</si>
</sst>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0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11" xfId="0" applyFont="1" applyBorder="1"/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Alignment="1">
      <alignment horizontal="center"/>
    </xf>
    <xf numFmtId="164" fontId="0" fillId="0" borderId="15" xfId="0" applyNumberFormat="1" applyBorder="1"/>
    <xf numFmtId="164" fontId="0" fillId="0" borderId="16" xfId="0" applyNumberFormat="1" applyBorder="1"/>
    <xf numFmtId="164" fontId="0" fillId="0" borderId="18" xfId="0" applyNumberFormat="1" applyBorder="1"/>
    <xf numFmtId="164" fontId="0" fillId="0" borderId="19" xfId="0" applyNumberFormat="1" applyBorder="1"/>
    <xf numFmtId="164" fontId="0" fillId="0" borderId="0" xfId="0" applyNumberFormat="1"/>
    <xf numFmtId="164" fontId="0" fillId="0" borderId="10" xfId="0" applyNumberFormat="1" applyBorder="1"/>
    <xf numFmtId="0" fontId="16" fillId="0" borderId="20" xfId="0" applyFont="1" applyBorder="1" applyAlignment="1">
      <alignment wrapText="1"/>
    </xf>
    <xf numFmtId="0" fontId="16" fillId="0" borderId="21" xfId="0" applyFont="1" applyBorder="1" applyAlignment="1">
      <alignment wrapText="1"/>
    </xf>
    <xf numFmtId="164" fontId="0" fillId="0" borderId="20" xfId="0" applyNumberFormat="1" applyBorder="1"/>
    <xf numFmtId="164" fontId="0" fillId="0" borderId="21" xfId="0" applyNumberFormat="1" applyBorder="1"/>
    <xf numFmtId="0" fontId="0" fillId="0" borderId="20" xfId="0" applyBorder="1"/>
    <xf numFmtId="11" fontId="0" fillId="0" borderId="21" xfId="0" applyNumberFormat="1" applyBorder="1"/>
    <xf numFmtId="0" fontId="16" fillId="0" borderId="12" xfId="0" applyFont="1" applyBorder="1"/>
    <xf numFmtId="0" fontId="16" fillId="0" borderId="13" xfId="0" applyFont="1" applyBorder="1"/>
    <xf numFmtId="0" fontId="16" fillId="33" borderId="12" xfId="0" applyFont="1" applyFill="1" applyBorder="1" applyAlignment="1">
      <alignment horizontal="center" wrapText="1"/>
    </xf>
    <xf numFmtId="0" fontId="16" fillId="33" borderId="13" xfId="0" applyFont="1" applyFill="1" applyBorder="1" applyAlignment="1">
      <alignment horizontal="center" wrapText="1"/>
    </xf>
    <xf numFmtId="0" fontId="0" fillId="33" borderId="15" xfId="0" applyFill="1" applyBorder="1"/>
    <xf numFmtId="165" fontId="0" fillId="33" borderId="16" xfId="0" applyNumberFormat="1" applyFill="1" applyBorder="1"/>
    <xf numFmtId="165" fontId="0" fillId="33" borderId="20" xfId="0" applyNumberFormat="1" applyFill="1" applyBorder="1"/>
    <xf numFmtId="165" fontId="0" fillId="33" borderId="21" xfId="0" applyNumberFormat="1" applyFill="1" applyBorder="1"/>
    <xf numFmtId="2" fontId="0" fillId="33" borderId="20" xfId="0" applyNumberFormat="1" applyFill="1" applyBorder="1"/>
    <xf numFmtId="2" fontId="0" fillId="33" borderId="21" xfId="0" applyNumberFormat="1" applyFill="1" applyBorder="1"/>
    <xf numFmtId="165" fontId="0" fillId="33" borderId="15" xfId="0" applyNumberFormat="1" applyFill="1" applyBorder="1"/>
    <xf numFmtId="2" fontId="0" fillId="33" borderId="15" xfId="0" applyNumberFormat="1" applyFill="1" applyBorder="1"/>
    <xf numFmtId="2" fontId="0" fillId="33" borderId="16" xfId="0" applyNumberFormat="1" applyFill="1" applyBorder="1"/>
    <xf numFmtId="0" fontId="0" fillId="33" borderId="18" xfId="0" applyFill="1" applyBorder="1"/>
    <xf numFmtId="165" fontId="0" fillId="33" borderId="19" xfId="0" applyNumberFormat="1" applyFill="1" applyBorder="1"/>
    <xf numFmtId="165" fontId="0" fillId="33" borderId="18" xfId="0" applyNumberFormat="1" applyFill="1" applyBorder="1"/>
    <xf numFmtId="2" fontId="0" fillId="33" borderId="18" xfId="0" applyNumberFormat="1" applyFill="1" applyBorder="1"/>
    <xf numFmtId="2" fontId="0" fillId="33" borderId="19" xfId="0" applyNumberFormat="1" applyFill="1" applyBorder="1"/>
    <xf numFmtId="0" fontId="16" fillId="33" borderId="22" xfId="0" applyFont="1" applyFill="1" applyBorder="1" applyAlignment="1">
      <alignment horizontal="center" wrapText="1"/>
    </xf>
    <xf numFmtId="0" fontId="0" fillId="33" borderId="23" xfId="0" applyFill="1" applyBorder="1"/>
    <xf numFmtId="0" fontId="16" fillId="33" borderId="14" xfId="0" applyFont="1" applyFill="1" applyBorder="1" applyAlignment="1">
      <alignment wrapText="1"/>
    </xf>
    <xf numFmtId="0" fontId="16" fillId="33" borderId="17" xfId="0" applyFont="1" applyFill="1" applyBorder="1" applyAlignment="1">
      <alignment wrapText="1"/>
    </xf>
    <xf numFmtId="0" fontId="16" fillId="33" borderId="14" xfId="0" applyFont="1" applyFill="1" applyBorder="1"/>
    <xf numFmtId="0" fontId="16" fillId="33" borderId="17" xfId="0" applyFont="1" applyFill="1" applyBorder="1"/>
    <xf numFmtId="0" fontId="16" fillId="33" borderId="22" xfId="0" applyFont="1" applyFill="1" applyBorder="1" applyAlignment="1">
      <alignment horizontal="center" wrapText="1"/>
    </xf>
    <xf numFmtId="0" fontId="16" fillId="33" borderId="13" xfId="0" applyFont="1" applyFill="1" applyBorder="1" applyAlignment="1">
      <alignment horizontal="center" wrapText="1"/>
    </xf>
    <xf numFmtId="0" fontId="16" fillId="33" borderId="12" xfId="0" applyFont="1" applyFill="1" applyBorder="1" applyAlignment="1">
      <alignment horizontal="center" wrapText="1"/>
    </xf>
    <xf numFmtId="0" fontId="16" fillId="33" borderId="2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18</xdr:col>
      <xdr:colOff>411480</xdr:colOff>
      <xdr:row>29</xdr:row>
      <xdr:rowOff>99060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D49E820-0E7E-86C9-E923-48ABAFC4A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731520"/>
          <a:ext cx="4069080" cy="4853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9DE5-C3D5-417C-9400-E8586E57B861}">
  <dimension ref="A1:K24"/>
  <sheetViews>
    <sheetView tabSelected="1" workbookViewId="0">
      <selection activeCell="G30" sqref="G30"/>
    </sheetView>
  </sheetViews>
  <sheetFormatPr defaultRowHeight="14.4" x14ac:dyDescent="0.3"/>
  <cols>
    <col min="3" max="3" width="16.21875" bestFit="1" customWidth="1"/>
    <col min="4" max="5" width="10.109375" hidden="1" customWidth="1"/>
    <col min="6" max="7" width="10.109375" customWidth="1"/>
    <col min="8" max="9" width="10.109375" hidden="1" customWidth="1"/>
    <col min="10" max="11" width="10.109375" customWidth="1"/>
  </cols>
  <sheetData>
    <row r="1" spans="1:11" x14ac:dyDescent="0.3">
      <c r="C1" s="46"/>
      <c r="D1" s="54" t="s">
        <v>52</v>
      </c>
      <c r="E1" s="54"/>
      <c r="F1" s="54"/>
      <c r="G1" s="55"/>
      <c r="H1" s="56" t="s">
        <v>56</v>
      </c>
      <c r="I1" s="54"/>
      <c r="J1" s="54"/>
      <c r="K1" s="55"/>
    </row>
    <row r="2" spans="1:11" s="2" customFormat="1" hidden="1" x14ac:dyDescent="0.3">
      <c r="C2" s="47" t="s">
        <v>38</v>
      </c>
      <c r="D2" s="51" t="s">
        <v>53</v>
      </c>
      <c r="E2" s="52"/>
      <c r="F2" s="53" t="s">
        <v>51</v>
      </c>
      <c r="G2" s="52"/>
      <c r="H2" s="53" t="s">
        <v>53</v>
      </c>
      <c r="I2" s="52"/>
      <c r="J2" s="53" t="s">
        <v>51</v>
      </c>
      <c r="K2" s="52"/>
    </row>
    <row r="3" spans="1:11" ht="43.2" x14ac:dyDescent="0.3">
      <c r="A3" t="s">
        <v>57</v>
      </c>
      <c r="B3" s="14" t="s">
        <v>58</v>
      </c>
      <c r="C3" s="48" t="s">
        <v>50</v>
      </c>
      <c r="D3" s="45" t="s">
        <v>55</v>
      </c>
      <c r="E3" s="30" t="s">
        <v>54</v>
      </c>
      <c r="F3" s="29" t="s">
        <v>55</v>
      </c>
      <c r="G3" s="30" t="s">
        <v>54</v>
      </c>
      <c r="H3" s="29" t="s">
        <v>55</v>
      </c>
      <c r="I3" s="30" t="s">
        <v>54</v>
      </c>
      <c r="J3" s="29" t="s">
        <v>55</v>
      </c>
      <c r="K3" s="30" t="s">
        <v>54</v>
      </c>
    </row>
    <row r="4" spans="1:11" ht="14.4" customHeight="1" x14ac:dyDescent="0.3">
      <c r="A4">
        <v>1</v>
      </c>
      <c r="B4">
        <v>1</v>
      </c>
      <c r="C4" s="49" t="s">
        <v>59</v>
      </c>
      <c r="D4" s="31">
        <v>0</v>
      </c>
      <c r="E4" s="32">
        <v>4.7999999999999996E-3</v>
      </c>
      <c r="F4" s="33">
        <v>0</v>
      </c>
      <c r="G4" s="34">
        <v>6.9999999999999994E-5</v>
      </c>
      <c r="H4" s="35">
        <f t="shared" ref="H4:H24" si="0">(D4-MIN(D$4:D$24))/(MAX(D$4:D$24)-MIN(D$4:D$24))</f>
        <v>0</v>
      </c>
      <c r="I4" s="36">
        <f t="shared" ref="I4:I24" si="1">(E4-MIN(E$4:E$24))/(MAX(E$4:E$24)-MIN(E$4:E$24))</f>
        <v>0</v>
      </c>
      <c r="J4" s="35">
        <f t="shared" ref="J4:J24" si="2">(F4-MIN(F$4:F$24))/(MAX(F$4:F$24)-MIN(F$4:F$24))</f>
        <v>0</v>
      </c>
      <c r="K4" s="36">
        <f t="shared" ref="K4:K24" si="3">(G4-MIN(G$4:G$24))/(MAX(G$4:G$24)-MIN(G$4:G$24))</f>
        <v>0</v>
      </c>
    </row>
    <row r="5" spans="1:11" x14ac:dyDescent="0.3">
      <c r="A5">
        <v>4</v>
      </c>
      <c r="B5">
        <v>2</v>
      </c>
      <c r="C5" s="49" t="s">
        <v>60</v>
      </c>
      <c r="D5" s="31">
        <v>0.156</v>
      </c>
      <c r="E5" s="32">
        <v>3.39E-2</v>
      </c>
      <c r="F5" s="37">
        <v>1.0251369863013701E-3</v>
      </c>
      <c r="G5" s="32">
        <v>4.0700000000000003E-4</v>
      </c>
      <c r="H5" s="38">
        <f t="shared" si="0"/>
        <v>0.34061135371179035</v>
      </c>
      <c r="I5" s="39">
        <f t="shared" si="1"/>
        <v>1.1354325178508722E-2</v>
      </c>
      <c r="J5" s="38">
        <f t="shared" si="2"/>
        <v>0.19415473225404736</v>
      </c>
      <c r="K5" s="39">
        <f t="shared" si="3"/>
        <v>3.7521572120469858E-3</v>
      </c>
    </row>
    <row r="6" spans="1:11" x14ac:dyDescent="0.3">
      <c r="A6">
        <v>3</v>
      </c>
      <c r="B6">
        <v>3</v>
      </c>
      <c r="C6" s="49" t="s">
        <v>61</v>
      </c>
      <c r="D6" s="31">
        <v>0.107</v>
      </c>
      <c r="E6" s="32">
        <v>3.5200000000000002E-2</v>
      </c>
      <c r="F6" s="37">
        <v>4.0791095890411002E-4</v>
      </c>
      <c r="G6" s="32">
        <v>3.0699999999999998E-4</v>
      </c>
      <c r="H6" s="38">
        <f t="shared" si="0"/>
        <v>0.23362445414847161</v>
      </c>
      <c r="I6" s="39">
        <f t="shared" si="1"/>
        <v>1.1861563073081277E-2</v>
      </c>
      <c r="J6" s="38">
        <f t="shared" si="2"/>
        <v>7.7255863428808719E-2</v>
      </c>
      <c r="K6" s="39">
        <f t="shared" si="3"/>
        <v>2.6387574458609361E-3</v>
      </c>
    </row>
    <row r="7" spans="1:11" x14ac:dyDescent="0.3">
      <c r="A7">
        <v>2</v>
      </c>
      <c r="B7">
        <v>4</v>
      </c>
      <c r="C7" s="49" t="s">
        <v>62</v>
      </c>
      <c r="D7" s="31">
        <v>6.9000000000000006E-2</v>
      </c>
      <c r="E7" s="32">
        <v>3.0200000000000001E-2</v>
      </c>
      <c r="F7" s="37">
        <v>4.8025684931506899E-4</v>
      </c>
      <c r="G7" s="32">
        <v>2.32E-4</v>
      </c>
      <c r="H7" s="38">
        <f t="shared" si="0"/>
        <v>0.15065502183406115</v>
      </c>
      <c r="I7" s="39">
        <f t="shared" si="1"/>
        <v>9.9106480939560662E-3</v>
      </c>
      <c r="J7" s="38">
        <f t="shared" si="2"/>
        <v>9.0957736612702456E-2</v>
      </c>
      <c r="K7" s="39">
        <f t="shared" si="3"/>
        <v>1.8037076212213995E-3</v>
      </c>
    </row>
    <row r="8" spans="1:11" x14ac:dyDescent="0.3">
      <c r="A8">
        <v>8</v>
      </c>
      <c r="B8">
        <v>5</v>
      </c>
      <c r="C8" s="49" t="s">
        <v>63</v>
      </c>
      <c r="D8" s="31">
        <v>0.248</v>
      </c>
      <c r="E8" s="32">
        <v>8.1900000000000001E-2</v>
      </c>
      <c r="F8" s="37">
        <v>2.2026712328767099E-3</v>
      </c>
      <c r="G8" s="32">
        <v>8.0099999999999995E-4</v>
      </c>
      <c r="H8" s="38">
        <f t="shared" si="0"/>
        <v>0.54148471615720517</v>
      </c>
      <c r="I8" s="39">
        <f t="shared" si="1"/>
        <v>3.0083108978110736E-2</v>
      </c>
      <c r="J8" s="38">
        <f t="shared" si="2"/>
        <v>0.41717258198422535</v>
      </c>
      <c r="K8" s="39">
        <f t="shared" si="3"/>
        <v>8.1389522908200188E-3</v>
      </c>
    </row>
    <row r="9" spans="1:11" x14ac:dyDescent="0.3">
      <c r="A9">
        <v>6</v>
      </c>
      <c r="B9">
        <v>6</v>
      </c>
      <c r="C9" s="49" t="s">
        <v>64</v>
      </c>
      <c r="D9" s="31">
        <v>0.20799999999999999</v>
      </c>
      <c r="E9" s="32">
        <v>9.4899999999999998E-2</v>
      </c>
      <c r="F9" s="37">
        <v>1.3864554794520501E-3</v>
      </c>
      <c r="G9" s="32">
        <v>8.2200000000000003E-4</v>
      </c>
      <c r="H9" s="38">
        <f t="shared" si="0"/>
        <v>0.45414847161572047</v>
      </c>
      <c r="I9" s="39">
        <f t="shared" si="1"/>
        <v>3.5155487923836277E-2</v>
      </c>
      <c r="J9" s="38">
        <f t="shared" si="2"/>
        <v>0.26258626504773674</v>
      </c>
      <c r="K9" s="39">
        <f t="shared" si="3"/>
        <v>8.3727662417190894E-3</v>
      </c>
    </row>
    <row r="10" spans="1:11" x14ac:dyDescent="0.3">
      <c r="A10">
        <v>5</v>
      </c>
      <c r="B10">
        <v>7</v>
      </c>
      <c r="C10" s="49" t="s">
        <v>65</v>
      </c>
      <c r="D10" s="31">
        <v>0.17299999999999999</v>
      </c>
      <c r="E10" s="32">
        <v>3.8600000000000002E-2</v>
      </c>
      <c r="F10" s="37">
        <v>8.9077054794520596E-4</v>
      </c>
      <c r="G10" s="32">
        <v>4.64E-4</v>
      </c>
      <c r="H10" s="38">
        <f t="shared" si="0"/>
        <v>0.37772925764192133</v>
      </c>
      <c r="I10" s="39">
        <f t="shared" si="1"/>
        <v>1.3188185258886419E-2</v>
      </c>
      <c r="J10" s="38">
        <f t="shared" si="2"/>
        <v>0.16870654317144052</v>
      </c>
      <c r="K10" s="39">
        <f t="shared" si="3"/>
        <v>4.3867950787730339E-3</v>
      </c>
    </row>
    <row r="11" spans="1:11" x14ac:dyDescent="0.3">
      <c r="A11">
        <v>11</v>
      </c>
      <c r="B11">
        <v>8</v>
      </c>
      <c r="C11" s="49" t="s">
        <v>66</v>
      </c>
      <c r="D11" s="31">
        <v>0.28999999999999998</v>
      </c>
      <c r="E11" s="32">
        <v>0.1321</v>
      </c>
      <c r="F11" s="37">
        <v>2.7021147260273999E-3</v>
      </c>
      <c r="G11" s="32">
        <v>1.635E-3</v>
      </c>
      <c r="H11" s="38">
        <f t="shared" si="0"/>
        <v>0.63318777292576411</v>
      </c>
      <c r="I11" s="39">
        <f t="shared" si="1"/>
        <v>4.9670295368527836E-2</v>
      </c>
      <c r="J11" s="38">
        <f t="shared" si="2"/>
        <v>0.5117641526567045</v>
      </c>
      <c r="K11" s="39">
        <f t="shared" si="3"/>
        <v>1.7424706340811669E-2</v>
      </c>
    </row>
    <row r="12" spans="1:11" x14ac:dyDescent="0.3">
      <c r="A12">
        <v>9</v>
      </c>
      <c r="B12">
        <v>9</v>
      </c>
      <c r="C12" s="49" t="s">
        <v>67</v>
      </c>
      <c r="D12" s="31">
        <v>0.26800000000000002</v>
      </c>
      <c r="E12" s="32">
        <v>0.15240000000000001</v>
      </c>
      <c r="F12" s="37">
        <v>2.1459160958904101E-3</v>
      </c>
      <c r="G12" s="32">
        <v>1.3649999999999999E-3</v>
      </c>
      <c r="H12" s="38">
        <f t="shared" si="0"/>
        <v>0.58515283842794763</v>
      </c>
      <c r="I12" s="39">
        <f t="shared" si="1"/>
        <v>5.7591010183776194E-2</v>
      </c>
      <c r="J12" s="38">
        <f t="shared" si="2"/>
        <v>0.40642350300954738</v>
      </c>
      <c r="K12" s="39">
        <f t="shared" si="3"/>
        <v>1.4418526972109335E-2</v>
      </c>
    </row>
    <row r="13" spans="1:11" x14ac:dyDescent="0.3">
      <c r="A13">
        <v>7</v>
      </c>
      <c r="B13">
        <v>10</v>
      </c>
      <c r="C13" s="49" t="s">
        <v>68</v>
      </c>
      <c r="D13" s="31">
        <v>0.22900000000000001</v>
      </c>
      <c r="E13" s="32">
        <v>4.53E-2</v>
      </c>
      <c r="F13" s="37">
        <v>1.4151883561643801E-3</v>
      </c>
      <c r="G13" s="32">
        <v>5.1400000000000003E-4</v>
      </c>
      <c r="H13" s="38">
        <f t="shared" si="0"/>
        <v>0.5</v>
      </c>
      <c r="I13" s="39">
        <f t="shared" si="1"/>
        <v>1.5802411330914201E-2</v>
      </c>
      <c r="J13" s="38">
        <f t="shared" si="2"/>
        <v>0.2680280977584053</v>
      </c>
      <c r="K13" s="39">
        <f t="shared" si="3"/>
        <v>4.9434949618660587E-3</v>
      </c>
    </row>
    <row r="14" spans="1:11" x14ac:dyDescent="0.3">
      <c r="A14">
        <v>14</v>
      </c>
      <c r="B14">
        <v>11</v>
      </c>
      <c r="C14" s="49" t="s">
        <v>69</v>
      </c>
      <c r="D14" s="31">
        <v>0.33300000000000002</v>
      </c>
      <c r="E14" s="32">
        <v>0.2319</v>
      </c>
      <c r="F14" s="37">
        <v>3.2299486301369902E-3</v>
      </c>
      <c r="G14" s="32">
        <v>2.2000000000000001E-3</v>
      </c>
      <c r="H14" s="38">
        <f t="shared" si="0"/>
        <v>0.72707423580786024</v>
      </c>
      <c r="I14" s="39">
        <f t="shared" si="1"/>
        <v>8.8610558351867028E-2</v>
      </c>
      <c r="J14" s="38">
        <f t="shared" si="2"/>
        <v>0.61173269510170269</v>
      </c>
      <c r="K14" s="39">
        <f t="shared" si="3"/>
        <v>2.3715415019762844E-2</v>
      </c>
    </row>
    <row r="15" spans="1:11" x14ac:dyDescent="0.3">
      <c r="A15">
        <v>12</v>
      </c>
      <c r="B15">
        <v>12</v>
      </c>
      <c r="C15" s="49" t="s">
        <v>70</v>
      </c>
      <c r="D15" s="31">
        <v>0.29899999999999999</v>
      </c>
      <c r="E15" s="32">
        <v>0.24529999999999999</v>
      </c>
      <c r="F15" s="37">
        <v>2.28628424657534E-3</v>
      </c>
      <c r="G15" s="32">
        <v>2.5699999999999998E-3</v>
      </c>
      <c r="H15" s="38">
        <f t="shared" si="0"/>
        <v>0.65283842794759817</v>
      </c>
      <c r="I15" s="39">
        <f t="shared" si="1"/>
        <v>9.3839010495922581E-2</v>
      </c>
      <c r="J15" s="38">
        <f t="shared" si="2"/>
        <v>0.43300838003320835</v>
      </c>
      <c r="K15" s="39">
        <f t="shared" si="3"/>
        <v>2.7834994154651221E-2</v>
      </c>
    </row>
    <row r="16" spans="1:11" x14ac:dyDescent="0.3">
      <c r="A16">
        <v>10</v>
      </c>
      <c r="B16">
        <v>13</v>
      </c>
      <c r="C16" s="49" t="s">
        <v>71</v>
      </c>
      <c r="D16" s="31">
        <v>0.27100000000000002</v>
      </c>
      <c r="E16" s="32">
        <v>4.65E-2</v>
      </c>
      <c r="F16" s="37">
        <v>2.2515924657534199E-3</v>
      </c>
      <c r="G16" s="32">
        <v>6.4999999999999997E-4</v>
      </c>
      <c r="H16" s="38">
        <f t="shared" si="0"/>
        <v>0.59170305676855894</v>
      </c>
      <c r="I16" s="39">
        <f t="shared" si="1"/>
        <v>1.627063092590425E-2</v>
      </c>
      <c r="J16" s="38">
        <f t="shared" si="2"/>
        <v>0.4264379669987538</v>
      </c>
      <c r="K16" s="39">
        <f t="shared" si="3"/>
        <v>6.457718643879084E-3</v>
      </c>
    </row>
    <row r="17" spans="1:11" x14ac:dyDescent="0.3">
      <c r="A17">
        <v>18</v>
      </c>
      <c r="B17">
        <v>14</v>
      </c>
      <c r="C17" s="49" t="s">
        <v>72</v>
      </c>
      <c r="D17" s="31">
        <v>0.376</v>
      </c>
      <c r="E17" s="32">
        <v>0.27360000000000001</v>
      </c>
      <c r="F17" s="37">
        <v>4.1912157534246602E-3</v>
      </c>
      <c r="G17" s="32">
        <v>3.7880000000000001E-3</v>
      </c>
      <c r="H17" s="38">
        <f t="shared" si="0"/>
        <v>0.82096069868995625</v>
      </c>
      <c r="I17" s="39">
        <f t="shared" si="1"/>
        <v>0.10488118927777126</v>
      </c>
      <c r="J17" s="38">
        <f t="shared" si="2"/>
        <v>0.79379086239103414</v>
      </c>
      <c r="K17" s="39">
        <f t="shared" si="3"/>
        <v>4.1396203306797302E-2</v>
      </c>
    </row>
    <row r="18" spans="1:11" x14ac:dyDescent="0.3">
      <c r="A18">
        <v>15</v>
      </c>
      <c r="B18">
        <v>15</v>
      </c>
      <c r="C18" s="49" t="s">
        <v>73</v>
      </c>
      <c r="D18" s="31">
        <v>0.35099999999999998</v>
      </c>
      <c r="E18" s="32">
        <v>0.3024</v>
      </c>
      <c r="F18" s="37">
        <v>3.5115582191780799E-3</v>
      </c>
      <c r="G18" s="32">
        <v>4.078E-3</v>
      </c>
      <c r="H18" s="38">
        <f t="shared" si="0"/>
        <v>0.76637554585152834</v>
      </c>
      <c r="I18" s="39">
        <f t="shared" si="1"/>
        <v>0.11611845955753247</v>
      </c>
      <c r="J18" s="38">
        <f t="shared" si="2"/>
        <v>0.66506784454130297</v>
      </c>
      <c r="K18" s="39">
        <f t="shared" si="3"/>
        <v>4.4625062628736847E-2</v>
      </c>
    </row>
    <row r="19" spans="1:11" x14ac:dyDescent="0.3">
      <c r="A19">
        <v>17</v>
      </c>
      <c r="B19">
        <v>16</v>
      </c>
      <c r="C19" s="49" t="s">
        <v>74</v>
      </c>
      <c r="D19" s="31">
        <v>0.37</v>
      </c>
      <c r="E19" s="32">
        <v>0.20649999999999999</v>
      </c>
      <c r="F19" s="37">
        <v>4.1700000000000001E-3</v>
      </c>
      <c r="G19" s="32">
        <v>7.2160000000000002E-3</v>
      </c>
      <c r="H19" s="38">
        <f t="shared" si="0"/>
        <v>0.80786026200873362</v>
      </c>
      <c r="I19" s="39">
        <f t="shared" si="1"/>
        <v>7.8699910257910954E-2</v>
      </c>
      <c r="J19" s="38">
        <f t="shared" si="2"/>
        <v>0.78977272727272729</v>
      </c>
      <c r="K19" s="39">
        <f t="shared" si="3"/>
        <v>7.9563547291655073E-2</v>
      </c>
    </row>
    <row r="20" spans="1:11" x14ac:dyDescent="0.3">
      <c r="A20">
        <v>20</v>
      </c>
      <c r="B20">
        <v>17</v>
      </c>
      <c r="C20" s="49" t="s">
        <v>75</v>
      </c>
      <c r="D20" s="31">
        <v>0.42899999999999999</v>
      </c>
      <c r="E20" s="32">
        <v>1.8366</v>
      </c>
      <c r="F20" s="37">
        <v>4.4600000000000004E-3</v>
      </c>
      <c r="G20" s="32">
        <v>3.6117999999999997E-2</v>
      </c>
      <c r="H20" s="38">
        <f t="shared" si="0"/>
        <v>0.93668122270742349</v>
      </c>
      <c r="I20" s="39">
        <f t="shared" si="1"/>
        <v>0.71473721175231186</v>
      </c>
      <c r="J20" s="38">
        <f t="shared" si="2"/>
        <v>0.84469696969696983</v>
      </c>
      <c r="K20" s="39">
        <f t="shared" si="3"/>
        <v>0.40135834771474693</v>
      </c>
    </row>
    <row r="21" spans="1:11" x14ac:dyDescent="0.3">
      <c r="A21">
        <v>21</v>
      </c>
      <c r="B21">
        <v>18</v>
      </c>
      <c r="C21" s="49" t="s">
        <v>76</v>
      </c>
      <c r="D21" s="31">
        <v>0.45800000000000002</v>
      </c>
      <c r="E21" s="32">
        <v>2.5676999999999999</v>
      </c>
      <c r="F21" s="37">
        <v>4.4299999999999999E-3</v>
      </c>
      <c r="G21" s="32">
        <v>7.3366000000000001E-2</v>
      </c>
      <c r="H21" s="38">
        <f t="shared" si="0"/>
        <v>1</v>
      </c>
      <c r="I21" s="39">
        <f t="shared" si="1"/>
        <v>1</v>
      </c>
      <c r="J21" s="38">
        <f t="shared" si="2"/>
        <v>0.83901515151515149</v>
      </c>
      <c r="K21" s="39">
        <f t="shared" si="3"/>
        <v>0.81607749262372653</v>
      </c>
    </row>
    <row r="22" spans="1:11" x14ac:dyDescent="0.3">
      <c r="A22">
        <v>13</v>
      </c>
      <c r="B22">
        <v>19</v>
      </c>
      <c r="C22" s="49" t="s">
        <v>77</v>
      </c>
      <c r="D22" s="31">
        <v>0.313</v>
      </c>
      <c r="E22" s="32">
        <v>0.2069</v>
      </c>
      <c r="F22" s="37">
        <v>3.5000000000000001E-3</v>
      </c>
      <c r="G22" s="32">
        <v>9.2160000000000002E-3</v>
      </c>
      <c r="H22" s="38">
        <f t="shared" si="0"/>
        <v>0.68340611353711789</v>
      </c>
      <c r="I22" s="39">
        <f t="shared" si="1"/>
        <v>7.885598345624098E-2</v>
      </c>
      <c r="J22" s="38">
        <f t="shared" si="2"/>
        <v>0.66287878787878785</v>
      </c>
      <c r="K22" s="39">
        <f t="shared" si="3"/>
        <v>0.10183154261537604</v>
      </c>
    </row>
    <row r="23" spans="1:11" x14ac:dyDescent="0.3">
      <c r="A23">
        <v>16</v>
      </c>
      <c r="B23">
        <v>20</v>
      </c>
      <c r="C23" s="49" t="s">
        <v>78</v>
      </c>
      <c r="D23" s="31">
        <v>0.35599999999999998</v>
      </c>
      <c r="E23" s="32">
        <v>1.2703</v>
      </c>
      <c r="F23" s="37">
        <v>4.3400000000000001E-3</v>
      </c>
      <c r="G23" s="32">
        <v>4.3397999999999999E-2</v>
      </c>
      <c r="H23" s="38">
        <f t="shared" si="0"/>
        <v>0.7772925764192139</v>
      </c>
      <c r="I23" s="39">
        <f t="shared" si="1"/>
        <v>0.49377658121659063</v>
      </c>
      <c r="J23" s="38">
        <f t="shared" si="2"/>
        <v>0.82196969696969702</v>
      </c>
      <c r="K23" s="39">
        <f t="shared" si="3"/>
        <v>0.48241385069309128</v>
      </c>
    </row>
    <row r="24" spans="1:11" x14ac:dyDescent="0.3">
      <c r="A24">
        <v>19</v>
      </c>
      <c r="B24">
        <v>21</v>
      </c>
      <c r="C24" s="50" t="s">
        <v>79</v>
      </c>
      <c r="D24" s="40">
        <v>0.38400000000000001</v>
      </c>
      <c r="E24" s="41">
        <v>2.3069999999999999</v>
      </c>
      <c r="F24" s="42">
        <v>5.28E-3</v>
      </c>
      <c r="G24" s="41">
        <v>8.9885000000000007E-2</v>
      </c>
      <c r="H24" s="43">
        <f t="shared" si="0"/>
        <v>0.83842794759825323</v>
      </c>
      <c r="I24" s="44">
        <f t="shared" si="1"/>
        <v>0.89827929298841158</v>
      </c>
      <c r="J24" s="43">
        <f t="shared" si="2"/>
        <v>1</v>
      </c>
      <c r="K24" s="44">
        <f t="shared" si="3"/>
        <v>1</v>
      </c>
    </row>
  </sheetData>
  <autoFilter ref="A3:K3" xr:uid="{D4109DE5-C3D5-417C-9400-E8586E57B861}">
    <sortState xmlns:xlrd2="http://schemas.microsoft.com/office/spreadsheetml/2017/richdata2" ref="A4:K24">
      <sortCondition ref="B3"/>
    </sortState>
  </autoFilter>
  <mergeCells count="6">
    <mergeCell ref="D2:E2"/>
    <mergeCell ref="F2:G2"/>
    <mergeCell ref="H2:I2"/>
    <mergeCell ref="J2:K2"/>
    <mergeCell ref="D1:G1"/>
    <mergeCell ref="H1:K1"/>
  </mergeCells>
  <conditionalFormatting sqref="D2:D24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24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2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:G24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24 H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I24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2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K2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37A3D-9680-4CEA-AA12-CBE635414D40}">
  <dimension ref="A1:T26"/>
  <sheetViews>
    <sheetView zoomScale="110" zoomScaleNormal="110" workbookViewId="0">
      <selection activeCell="H2" sqref="H2:I24"/>
    </sheetView>
  </sheetViews>
  <sheetFormatPr defaultRowHeight="14.4" x14ac:dyDescent="0.3"/>
  <cols>
    <col min="1" max="1" width="16.88671875" bestFit="1" customWidth="1"/>
    <col min="12" max="12" width="16.88671875" bestFit="1" customWidth="1"/>
  </cols>
  <sheetData>
    <row r="1" spans="1:20" x14ac:dyDescent="0.3">
      <c r="A1" s="57" t="s">
        <v>36</v>
      </c>
      <c r="B1" s="57"/>
      <c r="C1" s="57"/>
      <c r="D1" s="57"/>
      <c r="E1" s="57"/>
      <c r="F1" s="57"/>
      <c r="G1" s="57"/>
      <c r="H1" s="14"/>
      <c r="I1" s="14"/>
      <c r="L1" s="57" t="s">
        <v>37</v>
      </c>
      <c r="M1" s="57"/>
      <c r="N1" s="57"/>
      <c r="O1" s="57"/>
      <c r="P1" s="57"/>
      <c r="Q1" s="57"/>
      <c r="R1" s="57"/>
    </row>
    <row r="2" spans="1:20" x14ac:dyDescent="0.3">
      <c r="A2" s="4" t="s">
        <v>38</v>
      </c>
      <c r="B2" s="58" t="s">
        <v>48</v>
      </c>
      <c r="C2" s="59"/>
      <c r="D2" s="27" t="s">
        <v>40</v>
      </c>
      <c r="E2" s="28"/>
      <c r="F2" s="27" t="s">
        <v>41</v>
      </c>
      <c r="G2" s="28"/>
      <c r="H2" s="27" t="s">
        <v>47</v>
      </c>
      <c r="I2" s="28"/>
      <c r="L2" s="4" t="s">
        <v>38</v>
      </c>
      <c r="M2" s="27" t="s">
        <v>39</v>
      </c>
      <c r="N2" s="28"/>
      <c r="O2" s="27" t="s">
        <v>40</v>
      </c>
      <c r="P2" s="28"/>
      <c r="Q2" s="27" t="s">
        <v>41</v>
      </c>
      <c r="R2" s="28"/>
      <c r="S2" s="27" t="s">
        <v>42</v>
      </c>
      <c r="T2" s="28"/>
    </row>
    <row r="3" spans="1:20" s="3" customFormat="1" ht="57.6" x14ac:dyDescent="0.3">
      <c r="A3" s="5" t="s">
        <v>0</v>
      </c>
      <c r="B3" s="6" t="s">
        <v>1</v>
      </c>
      <c r="C3" s="7" t="s">
        <v>45</v>
      </c>
      <c r="D3" s="6" t="s">
        <v>2</v>
      </c>
      <c r="E3" s="7" t="s">
        <v>5</v>
      </c>
      <c r="F3" s="6" t="s">
        <v>3</v>
      </c>
      <c r="G3" s="7" t="s">
        <v>6</v>
      </c>
      <c r="H3" s="6" t="s">
        <v>43</v>
      </c>
      <c r="I3" s="7" t="s">
        <v>44</v>
      </c>
      <c r="L3" s="5" t="s">
        <v>0</v>
      </c>
      <c r="M3" s="6" t="s">
        <v>1</v>
      </c>
      <c r="N3" s="7" t="s">
        <v>4</v>
      </c>
      <c r="O3" s="6" t="s">
        <v>2</v>
      </c>
      <c r="P3" s="7" t="s">
        <v>5</v>
      </c>
      <c r="Q3" s="6" t="s">
        <v>3</v>
      </c>
      <c r="R3" s="7" t="s">
        <v>6</v>
      </c>
      <c r="S3" s="21" t="s">
        <v>43</v>
      </c>
      <c r="T3" s="22" t="s">
        <v>44</v>
      </c>
    </row>
    <row r="4" spans="1:20" x14ac:dyDescent="0.3">
      <c r="A4" s="8" t="s">
        <v>35</v>
      </c>
      <c r="B4" s="9">
        <v>0</v>
      </c>
      <c r="C4" s="10">
        <v>4.7999999999999996E-3</v>
      </c>
      <c r="D4" s="9">
        <v>0</v>
      </c>
      <c r="E4" s="10">
        <v>2.02E-4</v>
      </c>
      <c r="F4" s="9">
        <v>0</v>
      </c>
      <c r="G4" s="10">
        <v>1.84E-4</v>
      </c>
      <c r="H4" s="25">
        <v>0</v>
      </c>
      <c r="I4" s="26">
        <v>6.9999999999999994E-5</v>
      </c>
      <c r="L4" s="8" t="s">
        <v>35</v>
      </c>
      <c r="M4" s="15">
        <v>0</v>
      </c>
      <c r="N4" s="16">
        <v>0</v>
      </c>
      <c r="O4" s="15">
        <v>0</v>
      </c>
      <c r="P4" s="16">
        <v>1.43E-2</v>
      </c>
      <c r="Q4" s="15">
        <v>0</v>
      </c>
      <c r="R4" s="19">
        <v>0</v>
      </c>
      <c r="S4" s="23">
        <f>(H4-MIN(H$4:H$24))/(MAX(H$4:H$24)-MIN(H$4:H$24))</f>
        <v>0</v>
      </c>
      <c r="T4" s="24">
        <f>(I4-MIN(I$4:I$24))/(MAX(I$4:I$24)-MIN(I$4:I$24))</f>
        <v>0</v>
      </c>
    </row>
    <row r="5" spans="1:20" x14ac:dyDescent="0.3">
      <c r="A5" s="8" t="s">
        <v>34</v>
      </c>
      <c r="B5" s="9">
        <v>6.9000000000000006E-2</v>
      </c>
      <c r="C5" s="10">
        <v>3.0200000000000001E-2</v>
      </c>
      <c r="D5" s="9">
        <v>1.7999999999999999E-2</v>
      </c>
      <c r="E5" s="10">
        <v>3.48E-4</v>
      </c>
      <c r="F5" s="9">
        <v>2.0000000000000001E-4</v>
      </c>
      <c r="G5" s="10">
        <v>3.8699999999999997E-4</v>
      </c>
      <c r="H5" s="9">
        <v>4.8025684931506899E-4</v>
      </c>
      <c r="I5" s="10">
        <v>2.32E-4</v>
      </c>
      <c r="L5" s="8" t="s">
        <v>34</v>
      </c>
      <c r="M5" s="15">
        <v>0.15</v>
      </c>
      <c r="N5" s="16">
        <v>9.9399999999999992E-3</v>
      </c>
      <c r="O5" s="15">
        <v>3.9E-2</v>
      </c>
      <c r="P5" s="16">
        <v>7.6200000000000004E-2</v>
      </c>
      <c r="Q5" s="15">
        <v>0.03</v>
      </c>
      <c r="R5" s="19">
        <v>1.4200000000000001E-2</v>
      </c>
      <c r="S5" s="15">
        <f t="shared" ref="S5:T24" si="0">(H5-MIN(H$4:H$24))/(MAX(H$4:H$24)-MIN(H$4:H$24))</f>
        <v>8.7398880676081717E-2</v>
      </c>
      <c r="T5" s="16">
        <f t="shared" si="0"/>
        <v>1.8037076212213995E-3</v>
      </c>
    </row>
    <row r="6" spans="1:20" x14ac:dyDescent="0.3">
      <c r="A6" s="8" t="s">
        <v>33</v>
      </c>
      <c r="B6" s="9">
        <v>0.107</v>
      </c>
      <c r="C6" s="10">
        <v>3.5200000000000002E-2</v>
      </c>
      <c r="D6" s="9">
        <v>0.126</v>
      </c>
      <c r="E6" s="10">
        <v>3.19E-4</v>
      </c>
      <c r="F6" s="9">
        <v>1.5E-3</v>
      </c>
      <c r="G6" s="10">
        <v>1.9759999999999999E-3</v>
      </c>
      <c r="H6" s="9">
        <v>4.0791095890411002E-4</v>
      </c>
      <c r="I6" s="10">
        <v>3.0699999999999998E-4</v>
      </c>
      <c r="L6" s="8" t="s">
        <v>33</v>
      </c>
      <c r="M6" s="15">
        <v>0.23400000000000001</v>
      </c>
      <c r="N6" s="16">
        <v>1.1900000000000001E-2</v>
      </c>
      <c r="O6" s="15">
        <v>0.27600000000000002</v>
      </c>
      <c r="P6" s="16">
        <v>6.4399999999999999E-2</v>
      </c>
      <c r="Q6" s="15">
        <v>0.20699999999999999</v>
      </c>
      <c r="R6" s="19">
        <v>0.126</v>
      </c>
      <c r="S6" s="15">
        <f t="shared" si="0"/>
        <v>7.4233113540329396E-2</v>
      </c>
      <c r="T6" s="16">
        <f t="shared" si="0"/>
        <v>2.6387574458609361E-3</v>
      </c>
    </row>
    <row r="7" spans="1:20" x14ac:dyDescent="0.3">
      <c r="A7" s="8" t="s">
        <v>32</v>
      </c>
      <c r="B7" s="9">
        <v>0.156</v>
      </c>
      <c r="C7" s="10">
        <v>3.39E-2</v>
      </c>
      <c r="D7" s="9">
        <v>0.28799999999999998</v>
      </c>
      <c r="E7" s="10">
        <v>3.3100000000000002E-4</v>
      </c>
      <c r="F7" s="9">
        <v>3.8999999999999998E-3</v>
      </c>
      <c r="G7" s="10">
        <v>4.9899999999999999E-4</v>
      </c>
      <c r="H7" s="9">
        <v>1.0251369863013701E-3</v>
      </c>
      <c r="I7" s="10">
        <v>4.0700000000000003E-4</v>
      </c>
      <c r="L7" s="8" t="s">
        <v>32</v>
      </c>
      <c r="M7" s="15">
        <v>0.34200000000000003</v>
      </c>
      <c r="N7" s="16">
        <v>1.14E-2</v>
      </c>
      <c r="O7" s="15">
        <v>0.629</v>
      </c>
      <c r="P7" s="16">
        <v>6.9400000000000003E-2</v>
      </c>
      <c r="Q7" s="15">
        <v>0.53100000000000003</v>
      </c>
      <c r="R7" s="19">
        <v>2.2200000000000001E-2</v>
      </c>
      <c r="S7" s="15">
        <f t="shared" si="0"/>
        <v>0.18655814127413467</v>
      </c>
      <c r="T7" s="16">
        <f t="shared" si="0"/>
        <v>3.7521572120469858E-3</v>
      </c>
    </row>
    <row r="8" spans="1:20" x14ac:dyDescent="0.3">
      <c r="A8" s="8" t="s">
        <v>31</v>
      </c>
      <c r="B8" s="9">
        <v>0.17299999999999999</v>
      </c>
      <c r="C8" s="10">
        <v>3.8600000000000002E-2</v>
      </c>
      <c r="D8" s="9">
        <v>0.11899999999999999</v>
      </c>
      <c r="E8" s="10">
        <v>7.18E-4</v>
      </c>
      <c r="F8" s="9">
        <v>1.4E-3</v>
      </c>
      <c r="G8" s="10">
        <v>7.3499999999999998E-4</v>
      </c>
      <c r="H8" s="9">
        <v>8.9077054794520596E-4</v>
      </c>
      <c r="I8" s="10">
        <v>4.64E-4</v>
      </c>
      <c r="L8" s="8" t="s">
        <v>31</v>
      </c>
      <c r="M8" s="15">
        <v>0.377</v>
      </c>
      <c r="N8" s="16">
        <v>1.3299999999999999E-2</v>
      </c>
      <c r="O8" s="15">
        <v>0.26</v>
      </c>
      <c r="P8" s="16">
        <v>0.23400000000000001</v>
      </c>
      <c r="Q8" s="15">
        <v>0.184</v>
      </c>
      <c r="R8" s="19">
        <v>3.8699999999999998E-2</v>
      </c>
      <c r="S8" s="15">
        <f t="shared" si="0"/>
        <v>0.16210565021750792</v>
      </c>
      <c r="T8" s="16">
        <f t="shared" si="0"/>
        <v>4.3867950787730339E-3</v>
      </c>
    </row>
    <row r="9" spans="1:20" x14ac:dyDescent="0.3">
      <c r="A9" s="8" t="s">
        <v>30</v>
      </c>
      <c r="B9" s="9">
        <v>0.20799999999999999</v>
      </c>
      <c r="C9" s="10">
        <v>9.4899999999999998E-2</v>
      </c>
      <c r="D9" s="9">
        <v>0.191</v>
      </c>
      <c r="E9" s="10">
        <v>6.3400000000000001E-4</v>
      </c>
      <c r="F9" s="9">
        <v>2.3E-3</v>
      </c>
      <c r="G9" s="10">
        <v>3.7799999999999999E-3</v>
      </c>
      <c r="H9" s="9">
        <v>1.3864554794520501E-3</v>
      </c>
      <c r="I9" s="10">
        <v>8.2200000000000003E-4</v>
      </c>
      <c r="L9" s="8" t="s">
        <v>30</v>
      </c>
      <c r="M9" s="15">
        <v>0.45400000000000001</v>
      </c>
      <c r="N9" s="16">
        <v>3.49E-2</v>
      </c>
      <c r="O9" s="15">
        <v>0.41699999999999998</v>
      </c>
      <c r="P9" s="16">
        <v>0.19800000000000001</v>
      </c>
      <c r="Q9" s="15">
        <v>0.313</v>
      </c>
      <c r="R9" s="19">
        <v>0.255</v>
      </c>
      <c r="S9" s="15">
        <f t="shared" si="0"/>
        <v>0.25231218916324843</v>
      </c>
      <c r="T9" s="16">
        <f t="shared" si="0"/>
        <v>8.3727662417190894E-3</v>
      </c>
    </row>
    <row r="10" spans="1:20" x14ac:dyDescent="0.3">
      <c r="A10" s="8" t="s">
        <v>29</v>
      </c>
      <c r="B10" s="9">
        <v>0.22900000000000001</v>
      </c>
      <c r="C10" s="10">
        <v>4.53E-2</v>
      </c>
      <c r="D10" s="9">
        <v>0.19500000000000001</v>
      </c>
      <c r="E10" s="10">
        <v>1.238E-3</v>
      </c>
      <c r="F10" s="9">
        <v>2.3999999999999998E-3</v>
      </c>
      <c r="G10" s="10">
        <v>1.193E-3</v>
      </c>
      <c r="H10" s="9">
        <v>1.4151883561643801E-3</v>
      </c>
      <c r="I10" s="10">
        <v>5.1400000000000003E-4</v>
      </c>
      <c r="L10" s="8" t="s">
        <v>29</v>
      </c>
      <c r="M10" s="15">
        <v>0.5</v>
      </c>
      <c r="N10" s="16">
        <v>1.5699999999999999E-2</v>
      </c>
      <c r="O10" s="15">
        <v>0.42699999999999999</v>
      </c>
      <c r="P10" s="16">
        <v>0.45600000000000002</v>
      </c>
      <c r="Q10" s="15">
        <v>0.32400000000000001</v>
      </c>
      <c r="R10" s="19">
        <v>7.0999999999999994E-2</v>
      </c>
      <c r="S10" s="15">
        <f t="shared" si="0"/>
        <v>0.25754110212272613</v>
      </c>
      <c r="T10" s="16">
        <f t="shared" si="0"/>
        <v>4.9434949618660587E-3</v>
      </c>
    </row>
    <row r="11" spans="1:20" x14ac:dyDescent="0.3">
      <c r="A11" s="8" t="s">
        <v>28</v>
      </c>
      <c r="B11" s="9">
        <v>0.248</v>
      </c>
      <c r="C11" s="10">
        <v>8.1900000000000001E-2</v>
      </c>
      <c r="D11" s="9">
        <v>0.36099999999999999</v>
      </c>
      <c r="E11" s="10">
        <v>6.7599999999999995E-4</v>
      </c>
      <c r="F11" s="9">
        <v>4.7000000000000002E-3</v>
      </c>
      <c r="G11" s="10">
        <v>9.8700000000000003E-4</v>
      </c>
      <c r="H11" s="9">
        <v>2.2026712328767099E-3</v>
      </c>
      <c r="I11" s="10">
        <v>8.0099999999999995E-4</v>
      </c>
      <c r="L11" s="8" t="s">
        <v>28</v>
      </c>
      <c r="M11" s="15">
        <v>0.54100000000000004</v>
      </c>
      <c r="N11" s="16">
        <v>2.92E-2</v>
      </c>
      <c r="O11" s="15">
        <v>0.78900000000000003</v>
      </c>
      <c r="P11" s="16">
        <v>0.214</v>
      </c>
      <c r="Q11" s="15">
        <v>0.64200000000000002</v>
      </c>
      <c r="R11" s="19">
        <v>5.6800000000000003E-2</v>
      </c>
      <c r="S11" s="15">
        <f t="shared" si="0"/>
        <v>0.40085008787565241</v>
      </c>
      <c r="T11" s="16">
        <f t="shared" si="0"/>
        <v>8.1389522908200188E-3</v>
      </c>
    </row>
    <row r="12" spans="1:20" x14ac:dyDescent="0.3">
      <c r="A12" s="8" t="s">
        <v>27</v>
      </c>
      <c r="B12" s="9">
        <v>0.26800000000000002</v>
      </c>
      <c r="C12" s="10">
        <v>0.15240000000000001</v>
      </c>
      <c r="D12" s="9">
        <v>0.27800000000000002</v>
      </c>
      <c r="E12" s="10">
        <v>1.139E-3</v>
      </c>
      <c r="F12" s="9">
        <v>4.4000000000000003E-3</v>
      </c>
      <c r="G12" s="10">
        <v>7.2579999999999997E-3</v>
      </c>
      <c r="H12" s="9">
        <v>2.1459160958904101E-3</v>
      </c>
      <c r="I12" s="10">
        <v>1.3649999999999999E-3</v>
      </c>
      <c r="L12" s="8" t="s">
        <v>27</v>
      </c>
      <c r="M12" s="15">
        <v>0.58499999999999996</v>
      </c>
      <c r="N12" s="16">
        <v>5.8099999999999999E-2</v>
      </c>
      <c r="O12" s="15">
        <v>0.60699999999999998</v>
      </c>
      <c r="P12" s="16">
        <v>0.41299999999999998</v>
      </c>
      <c r="Q12" s="15">
        <v>0.60199999999999998</v>
      </c>
      <c r="R12" s="19">
        <v>0.498</v>
      </c>
      <c r="S12" s="15">
        <f t="shared" si="0"/>
        <v>0.39052158250962876</v>
      </c>
      <c r="T12" s="16">
        <f t="shared" si="0"/>
        <v>1.4418526972109335E-2</v>
      </c>
    </row>
    <row r="13" spans="1:20" x14ac:dyDescent="0.3">
      <c r="A13" s="8" t="s">
        <v>26</v>
      </c>
      <c r="B13" s="9">
        <v>0.27100000000000002</v>
      </c>
      <c r="C13" s="10">
        <v>4.65E-2</v>
      </c>
      <c r="D13" s="9">
        <v>0.252</v>
      </c>
      <c r="E13" s="10">
        <v>1.0189999999999999E-3</v>
      </c>
      <c r="F13" s="9">
        <v>3.0999999999999999E-3</v>
      </c>
      <c r="G13" s="10">
        <v>1.1720000000000001E-3</v>
      </c>
      <c r="H13" s="9">
        <v>2.2515924657534199E-3</v>
      </c>
      <c r="I13" s="10">
        <v>6.4999999999999997E-4</v>
      </c>
      <c r="L13" s="8" t="s">
        <v>26</v>
      </c>
      <c r="M13" s="15">
        <v>0.59099999999999997</v>
      </c>
      <c r="N13" s="16">
        <v>1.6299999999999999E-2</v>
      </c>
      <c r="O13" s="15">
        <v>0.55000000000000004</v>
      </c>
      <c r="P13" s="16">
        <v>0.36199999999999999</v>
      </c>
      <c r="Q13" s="15">
        <v>0.42</v>
      </c>
      <c r="R13" s="19">
        <v>6.9400000000000003E-2</v>
      </c>
      <c r="S13" s="15">
        <f t="shared" si="0"/>
        <v>0.40975295100153231</v>
      </c>
      <c r="T13" s="16">
        <f t="shared" si="0"/>
        <v>6.457718643879084E-3</v>
      </c>
    </row>
    <row r="14" spans="1:20" x14ac:dyDescent="0.3">
      <c r="A14" s="8" t="s">
        <v>25</v>
      </c>
      <c r="B14" s="9">
        <v>0.28999999999999998</v>
      </c>
      <c r="C14" s="10">
        <v>0.1321</v>
      </c>
      <c r="D14" s="9">
        <v>0.36499999999999999</v>
      </c>
      <c r="E14" s="10">
        <v>1.225E-3</v>
      </c>
      <c r="F14" s="9">
        <v>6.0000000000000001E-3</v>
      </c>
      <c r="G14" s="10">
        <v>1.83E-3</v>
      </c>
      <c r="H14" s="9">
        <v>2.7021147260273999E-3</v>
      </c>
      <c r="I14" s="10">
        <v>1.635E-3</v>
      </c>
      <c r="L14" s="8" t="s">
        <v>25</v>
      </c>
      <c r="M14" s="15">
        <v>0.63400000000000001</v>
      </c>
      <c r="N14" s="16">
        <v>5.0099999999999999E-2</v>
      </c>
      <c r="O14" s="15">
        <v>0.79800000000000004</v>
      </c>
      <c r="P14" s="16">
        <v>0.44800000000000001</v>
      </c>
      <c r="Q14" s="15">
        <v>0.81200000000000006</v>
      </c>
      <c r="R14" s="19">
        <v>0.11600000000000001</v>
      </c>
      <c r="S14" s="15">
        <f t="shared" si="0"/>
        <v>0.4917406234808735</v>
      </c>
      <c r="T14" s="16">
        <f t="shared" si="0"/>
        <v>1.7424706340811669E-2</v>
      </c>
    </row>
    <row r="15" spans="1:20" x14ac:dyDescent="0.3">
      <c r="A15" s="8" t="s">
        <v>24</v>
      </c>
      <c r="B15" s="9">
        <v>0.29899999999999999</v>
      </c>
      <c r="C15" s="10">
        <v>0.24529999999999999</v>
      </c>
      <c r="D15" s="9">
        <v>0.314</v>
      </c>
      <c r="E15" s="10">
        <v>1.926E-3</v>
      </c>
      <c r="F15" s="9">
        <v>4.8999999999999998E-3</v>
      </c>
      <c r="G15" s="10">
        <v>1.1750999999999999E-2</v>
      </c>
      <c r="H15" s="9">
        <v>2.28628424657534E-3</v>
      </c>
      <c r="I15" s="10">
        <v>2.5699999999999998E-3</v>
      </c>
      <c r="L15" s="8" t="s">
        <v>24</v>
      </c>
      <c r="M15" s="15">
        <v>0.65300000000000002</v>
      </c>
      <c r="N15" s="16">
        <v>9.4200000000000006E-2</v>
      </c>
      <c r="O15" s="15">
        <v>0.68600000000000005</v>
      </c>
      <c r="P15" s="16">
        <v>0.749</v>
      </c>
      <c r="Q15" s="15">
        <v>0.65800000000000003</v>
      </c>
      <c r="R15" s="19">
        <v>0.80600000000000005</v>
      </c>
      <c r="S15" s="15">
        <f t="shared" si="0"/>
        <v>0.41606628691088993</v>
      </c>
      <c r="T15" s="16">
        <f t="shared" si="0"/>
        <v>2.7834994154651221E-2</v>
      </c>
    </row>
    <row r="16" spans="1:20" x14ac:dyDescent="0.3">
      <c r="A16" s="8" t="s">
        <v>23</v>
      </c>
      <c r="B16" s="9">
        <v>0.313</v>
      </c>
      <c r="C16" s="10">
        <v>0.2069</v>
      </c>
      <c r="D16" s="9">
        <v>0.21199999999999999</v>
      </c>
      <c r="E16" s="10">
        <v>1.93E-4</v>
      </c>
      <c r="F16" s="9">
        <v>2.5000000000000001E-3</v>
      </c>
      <c r="G16" s="10">
        <v>1.487E-3</v>
      </c>
      <c r="H16" s="9">
        <v>2.7798544520547899E-3</v>
      </c>
      <c r="I16" s="10">
        <v>9.2160000000000002E-3</v>
      </c>
      <c r="L16" s="8" t="s">
        <v>23</v>
      </c>
      <c r="M16" s="15">
        <v>0.68300000000000005</v>
      </c>
      <c r="N16" s="16">
        <v>7.8799999999999995E-2</v>
      </c>
      <c r="O16" s="15">
        <v>0.46300000000000002</v>
      </c>
      <c r="P16" s="16">
        <v>1.0699999999999999E-2</v>
      </c>
      <c r="Q16" s="15">
        <v>0.34200000000000003</v>
      </c>
      <c r="R16" s="19">
        <v>9.2100000000000001E-2</v>
      </c>
      <c r="S16" s="15">
        <f t="shared" si="0"/>
        <v>0.50588798035573979</v>
      </c>
      <c r="T16" s="16">
        <f t="shared" si="0"/>
        <v>0.10183154261537604</v>
      </c>
    </row>
    <row r="17" spans="1:20" x14ac:dyDescent="0.3">
      <c r="A17" s="8" t="s">
        <v>22</v>
      </c>
      <c r="B17" s="9">
        <v>0.33300000000000002</v>
      </c>
      <c r="C17" s="10">
        <v>0.2319</v>
      </c>
      <c r="D17" s="9">
        <v>0.41599999999999998</v>
      </c>
      <c r="E17" s="10">
        <v>2.2889999999999998E-3</v>
      </c>
      <c r="F17" s="9">
        <v>6.7999999999999996E-3</v>
      </c>
      <c r="G17" s="10">
        <v>3.2550000000000001E-3</v>
      </c>
      <c r="H17" s="9">
        <v>3.2299486301369902E-3</v>
      </c>
      <c r="I17" s="10">
        <v>2.2000000000000001E-3</v>
      </c>
      <c r="L17" s="8" t="s">
        <v>22</v>
      </c>
      <c r="M17" s="15">
        <v>0.72799999999999998</v>
      </c>
      <c r="N17" s="16">
        <v>8.8999999999999996E-2</v>
      </c>
      <c r="O17" s="15">
        <v>0.90800000000000003</v>
      </c>
      <c r="P17" s="16">
        <v>0.90500000000000003</v>
      </c>
      <c r="Q17" s="15">
        <v>0.92300000000000004</v>
      </c>
      <c r="R17" s="19">
        <v>0.215</v>
      </c>
      <c r="S17" s="15">
        <f t="shared" si="0"/>
        <v>0.58779774888753233</v>
      </c>
      <c r="T17" s="16">
        <f t="shared" si="0"/>
        <v>2.3715415019762844E-2</v>
      </c>
    </row>
    <row r="18" spans="1:20" x14ac:dyDescent="0.3">
      <c r="A18" s="8" t="s">
        <v>21</v>
      </c>
      <c r="B18" s="9">
        <v>0.35099999999999998</v>
      </c>
      <c r="C18" s="10">
        <v>0.3024</v>
      </c>
      <c r="D18" s="9">
        <v>0.41099999999999998</v>
      </c>
      <c r="E18" s="10">
        <v>2.264E-3</v>
      </c>
      <c r="F18" s="9">
        <v>5.4000000000000003E-3</v>
      </c>
      <c r="G18" s="10">
        <v>1.4489999999999999E-2</v>
      </c>
      <c r="H18" s="9">
        <v>3.5115582191780799E-3</v>
      </c>
      <c r="I18" s="10">
        <v>4.078E-3</v>
      </c>
      <c r="L18" s="8" t="s">
        <v>21</v>
      </c>
      <c r="M18" s="15">
        <v>0.76600000000000001</v>
      </c>
      <c r="N18" s="16">
        <v>0.11600000000000001</v>
      </c>
      <c r="O18" s="15">
        <v>0.89800000000000002</v>
      </c>
      <c r="P18" s="16">
        <v>0.89400000000000002</v>
      </c>
      <c r="Q18" s="15">
        <v>0.72499999999999998</v>
      </c>
      <c r="R18" s="19">
        <v>1</v>
      </c>
      <c r="S18" s="15">
        <f t="shared" si="0"/>
        <v>0.63904608174305366</v>
      </c>
      <c r="T18" s="16">
        <f t="shared" si="0"/>
        <v>4.4625062628736847E-2</v>
      </c>
    </row>
    <row r="19" spans="1:20" x14ac:dyDescent="0.3">
      <c r="A19" s="8" t="s">
        <v>20</v>
      </c>
      <c r="B19" s="9">
        <v>0.35599999999999998</v>
      </c>
      <c r="C19" s="10">
        <v>1.2703</v>
      </c>
      <c r="D19" s="9">
        <v>0.23599999999999999</v>
      </c>
      <c r="E19" s="10">
        <v>2.8299999999999999E-4</v>
      </c>
      <c r="F19" s="9">
        <v>2.8999999999999998E-3</v>
      </c>
      <c r="G19" s="10">
        <v>7.7320000000000002E-3</v>
      </c>
      <c r="H19" s="9">
        <v>4.2809931506849301E-3</v>
      </c>
      <c r="I19" s="10">
        <v>4.3397999999999999E-2</v>
      </c>
      <c r="L19" s="8" t="s">
        <v>20</v>
      </c>
      <c r="M19" s="15">
        <v>0.77700000000000002</v>
      </c>
      <c r="N19" s="16">
        <v>0.49399999999999999</v>
      </c>
      <c r="O19" s="15">
        <v>0.51500000000000001</v>
      </c>
      <c r="P19" s="16">
        <v>4.9200000000000001E-2</v>
      </c>
      <c r="Q19" s="15">
        <v>0.39500000000000002</v>
      </c>
      <c r="R19" s="19">
        <v>0.52900000000000003</v>
      </c>
      <c r="S19" s="15">
        <f t="shared" si="0"/>
        <v>0.77907063706732127</v>
      </c>
      <c r="T19" s="16">
        <f t="shared" si="0"/>
        <v>0.48241385069309128</v>
      </c>
    </row>
    <row r="20" spans="1:20" x14ac:dyDescent="0.3">
      <c r="A20" s="8" t="s">
        <v>19</v>
      </c>
      <c r="B20" s="9">
        <v>0.37</v>
      </c>
      <c r="C20" s="10">
        <v>0.20649999999999999</v>
      </c>
      <c r="D20" s="9">
        <v>0.20599999999999999</v>
      </c>
      <c r="E20" s="10">
        <v>1.6799999999999999E-4</v>
      </c>
      <c r="F20" s="9">
        <v>2.5999999999999999E-3</v>
      </c>
      <c r="G20" s="10">
        <v>1.0679999999999999E-3</v>
      </c>
      <c r="H20" s="9">
        <v>4.1313613013698597E-3</v>
      </c>
      <c r="I20" s="10">
        <v>7.2160000000000002E-3</v>
      </c>
      <c r="L20" s="8" t="s">
        <v>19</v>
      </c>
      <c r="M20" s="15">
        <v>0.80800000000000005</v>
      </c>
      <c r="N20" s="16">
        <v>7.8600000000000003E-2</v>
      </c>
      <c r="O20" s="15">
        <v>0.45</v>
      </c>
      <c r="P20" s="16">
        <v>0</v>
      </c>
      <c r="Q20" s="15">
        <v>0.34599999999999997</v>
      </c>
      <c r="R20" s="19">
        <v>6.1699999999999998E-2</v>
      </c>
      <c r="S20" s="15">
        <f t="shared" si="0"/>
        <v>0.75184009124110274</v>
      </c>
      <c r="T20" s="16">
        <f t="shared" si="0"/>
        <v>7.9563547291655073E-2</v>
      </c>
    </row>
    <row r="21" spans="1:20" x14ac:dyDescent="0.3">
      <c r="A21" s="8" t="s">
        <v>18</v>
      </c>
      <c r="B21" s="9">
        <v>0.376</v>
      </c>
      <c r="C21" s="10">
        <v>0.27360000000000001</v>
      </c>
      <c r="D21" s="9">
        <v>0.45700000000000002</v>
      </c>
      <c r="E21" s="10">
        <v>2.5149999999999999E-3</v>
      </c>
      <c r="F21" s="9">
        <v>7.4000000000000003E-3</v>
      </c>
      <c r="G21" s="10">
        <v>3.7450000000000001E-3</v>
      </c>
      <c r="H21" s="9">
        <v>4.1912157534246602E-3</v>
      </c>
      <c r="I21" s="10">
        <v>3.7880000000000001E-3</v>
      </c>
      <c r="L21" s="8" t="s">
        <v>18</v>
      </c>
      <c r="M21" s="15">
        <v>0.82099999999999995</v>
      </c>
      <c r="N21" s="16">
        <v>0.105</v>
      </c>
      <c r="O21" s="15">
        <v>1</v>
      </c>
      <c r="P21" s="16">
        <v>1</v>
      </c>
      <c r="Q21" s="15">
        <v>1</v>
      </c>
      <c r="R21" s="19">
        <v>0.249</v>
      </c>
      <c r="S21" s="15">
        <f t="shared" si="0"/>
        <v>0.76273262118738128</v>
      </c>
      <c r="T21" s="16">
        <f t="shared" si="0"/>
        <v>4.1396203306797302E-2</v>
      </c>
    </row>
    <row r="22" spans="1:20" x14ac:dyDescent="0.3">
      <c r="A22" s="8" t="s">
        <v>17</v>
      </c>
      <c r="B22" s="9">
        <v>0.38400000000000001</v>
      </c>
      <c r="C22" s="10">
        <v>2.3069999999999999</v>
      </c>
      <c r="D22" s="9">
        <v>0.26800000000000002</v>
      </c>
      <c r="E22" s="10">
        <v>3.4900000000000003E-4</v>
      </c>
      <c r="F22" s="9">
        <v>3.3E-3</v>
      </c>
      <c r="G22" s="10">
        <v>1.4328E-2</v>
      </c>
      <c r="H22" s="9">
        <v>5.3160530821917797E-3</v>
      </c>
      <c r="I22" s="10">
        <v>8.9885000000000007E-2</v>
      </c>
      <c r="L22" s="8" t="s">
        <v>17</v>
      </c>
      <c r="M22" s="15">
        <v>0.83899999999999997</v>
      </c>
      <c r="N22" s="16">
        <v>0.89800000000000002</v>
      </c>
      <c r="O22" s="15">
        <v>0.58599999999999997</v>
      </c>
      <c r="P22" s="16">
        <v>7.6799999999999993E-2</v>
      </c>
      <c r="Q22" s="15">
        <v>0.44800000000000001</v>
      </c>
      <c r="R22" s="19">
        <v>0.99199999999999999</v>
      </c>
      <c r="S22" s="15">
        <f t="shared" si="0"/>
        <v>0.96743459184563785</v>
      </c>
      <c r="T22" s="16">
        <f t="shared" si="0"/>
        <v>1</v>
      </c>
    </row>
    <row r="23" spans="1:20" x14ac:dyDescent="0.3">
      <c r="A23" s="8" t="s">
        <v>16</v>
      </c>
      <c r="B23" s="9">
        <v>0.42899999999999999</v>
      </c>
      <c r="C23" s="10">
        <v>1.8366</v>
      </c>
      <c r="D23" s="9">
        <v>0.254</v>
      </c>
      <c r="E23" s="10">
        <v>3.1300000000000002E-4</v>
      </c>
      <c r="F23" s="9">
        <v>3.0999999999999999E-3</v>
      </c>
      <c r="G23" s="10">
        <v>6.0029999999999997E-3</v>
      </c>
      <c r="H23" s="9">
        <v>5.4949999999999999E-3</v>
      </c>
      <c r="I23" s="10">
        <v>3.6117999999999997E-2</v>
      </c>
      <c r="L23" s="8" t="s">
        <v>16</v>
      </c>
      <c r="M23" s="15">
        <v>0.93700000000000006</v>
      </c>
      <c r="N23" s="16">
        <v>0.71499999999999997</v>
      </c>
      <c r="O23" s="15">
        <v>0.55500000000000005</v>
      </c>
      <c r="P23" s="16">
        <v>6.1899999999999997E-2</v>
      </c>
      <c r="Q23" s="15">
        <v>0.42</v>
      </c>
      <c r="R23" s="19">
        <v>0.40500000000000003</v>
      </c>
      <c r="S23" s="15">
        <f t="shared" si="0"/>
        <v>1</v>
      </c>
      <c r="T23" s="16">
        <f t="shared" si="0"/>
        <v>0.40135834771474693</v>
      </c>
    </row>
    <row r="24" spans="1:20" x14ac:dyDescent="0.3">
      <c r="A24" s="11" t="s">
        <v>15</v>
      </c>
      <c r="B24" s="12">
        <v>0.45800000000000002</v>
      </c>
      <c r="C24" s="13">
        <v>2.5676999999999999</v>
      </c>
      <c r="D24" s="12">
        <v>0.255</v>
      </c>
      <c r="E24" s="13">
        <v>2.8899999999999998E-4</v>
      </c>
      <c r="F24" s="12">
        <v>3.0999999999999999E-3</v>
      </c>
      <c r="G24" s="13">
        <v>1.2413E-2</v>
      </c>
      <c r="H24" s="12">
        <v>3.9816995708154496E-3</v>
      </c>
      <c r="I24" s="13">
        <v>7.3366000000000001E-2</v>
      </c>
      <c r="L24" s="11" t="s">
        <v>15</v>
      </c>
      <c r="M24" s="17">
        <v>1</v>
      </c>
      <c r="N24" s="18">
        <v>1</v>
      </c>
      <c r="O24" s="17">
        <v>0.55700000000000005</v>
      </c>
      <c r="P24" s="18">
        <v>5.1700000000000003E-2</v>
      </c>
      <c r="Q24" s="17">
        <v>0.41799999999999998</v>
      </c>
      <c r="R24" s="20">
        <v>0.85699999999999998</v>
      </c>
      <c r="S24" s="17">
        <f t="shared" si="0"/>
        <v>0.72460410751873516</v>
      </c>
      <c r="T24" s="18">
        <f t="shared" si="0"/>
        <v>0.81607749262372653</v>
      </c>
    </row>
    <row r="26" spans="1:20" x14ac:dyDescent="0.3">
      <c r="D26" t="s">
        <v>46</v>
      </c>
      <c r="F26" t="s">
        <v>46</v>
      </c>
      <c r="G26" t="s">
        <v>49</v>
      </c>
    </row>
  </sheetData>
  <autoFilter ref="L3:R3" xr:uid="{7C334F81-0F5C-4AEB-A4B7-5971832C37F6}">
    <sortState xmlns:xlrd2="http://schemas.microsoft.com/office/spreadsheetml/2017/richdata2" ref="L4:R24">
      <sortCondition ref="M3"/>
    </sortState>
  </autoFilter>
  <mergeCells count="3">
    <mergeCell ref="A1:G1"/>
    <mergeCell ref="L1:R1"/>
    <mergeCell ref="B2:C2"/>
  </mergeCells>
  <conditionalFormatting sqref="B2:B1048576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24 C25:C1048576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5:E1048576 C3:C2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24 D25:D104857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5:F1048576 E3:E24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5:I1048576 G3:G24 I3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24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:N24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2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:P2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2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:R2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:T2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:T2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D584-51B9-4DF9-829B-B329068A09AD}">
  <dimension ref="A1:O22"/>
  <sheetViews>
    <sheetView workbookViewId="0">
      <selection activeCell="I2" sqref="I2:I22"/>
    </sheetView>
  </sheetViews>
  <sheetFormatPr defaultRowHeight="14.4" x14ac:dyDescent="0.3"/>
  <sheetData>
    <row r="1" spans="1:15" s="2" customFormat="1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35</v>
      </c>
      <c r="B2">
        <v>0</v>
      </c>
      <c r="C2">
        <v>0</v>
      </c>
      <c r="D2">
        <v>0</v>
      </c>
      <c r="E2">
        <v>4.7999999999999996E-3</v>
      </c>
      <c r="F2" s="1">
        <v>7.9999999999999996E-6</v>
      </c>
      <c r="G2" s="1">
        <v>2.3E-5</v>
      </c>
      <c r="H2" s="1">
        <v>6.9999999999999994E-5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 t="s">
        <v>34</v>
      </c>
      <c r="B3">
        <v>6.9000000000000006E-2</v>
      </c>
      <c r="C3">
        <v>1.7999999999999999E-2</v>
      </c>
      <c r="D3" s="1">
        <v>2.0000000000000001E-4</v>
      </c>
      <c r="E3">
        <v>3.0200000000000001E-2</v>
      </c>
      <c r="F3" s="1">
        <v>7.4999999999999993E-5</v>
      </c>
      <c r="G3">
        <v>1.11E-4</v>
      </c>
      <c r="H3">
        <v>2.32E-4</v>
      </c>
      <c r="I3">
        <v>4.8025684931506899E-4</v>
      </c>
      <c r="J3">
        <v>6.1680124223602501E-4</v>
      </c>
      <c r="K3">
        <v>3.8061224489795902E-4</v>
      </c>
      <c r="L3">
        <v>3.8148337595907898E-4</v>
      </c>
      <c r="M3">
        <v>4.7911330049261102E-4</v>
      </c>
      <c r="N3">
        <v>5.4842723004694795E-4</v>
      </c>
      <c r="O3">
        <v>4.41118598382749E-4</v>
      </c>
    </row>
    <row r="4" spans="1:15" x14ac:dyDescent="0.3">
      <c r="A4" t="s">
        <v>33</v>
      </c>
      <c r="B4">
        <v>0.107</v>
      </c>
      <c r="C4">
        <v>0.126</v>
      </c>
      <c r="D4">
        <v>1.5E-3</v>
      </c>
      <c r="E4">
        <v>3.5200000000000002E-2</v>
      </c>
      <c r="F4" s="1">
        <v>8.6000000000000003E-5</v>
      </c>
      <c r="G4">
        <v>1.3200000000000001E-4</v>
      </c>
      <c r="H4">
        <v>3.0699999999999998E-4</v>
      </c>
      <c r="I4">
        <v>4.0791095890411002E-4</v>
      </c>
      <c r="J4">
        <v>4.1518633540372699E-4</v>
      </c>
      <c r="K4">
        <v>2.63265306122449E-4</v>
      </c>
      <c r="L4">
        <v>3.1695652173913E-4</v>
      </c>
      <c r="M4">
        <v>5.0719211822660099E-4</v>
      </c>
      <c r="N4">
        <v>3.9460093896713597E-4</v>
      </c>
      <c r="O4">
        <v>4.1555256064690002E-4</v>
      </c>
    </row>
    <row r="5" spans="1:15" x14ac:dyDescent="0.3">
      <c r="A5" t="s">
        <v>32</v>
      </c>
      <c r="B5">
        <v>0.156</v>
      </c>
      <c r="C5">
        <v>0.28799999999999998</v>
      </c>
      <c r="D5">
        <v>3.8999999999999998E-3</v>
      </c>
      <c r="E5">
        <v>3.39E-2</v>
      </c>
      <c r="F5" s="1">
        <v>8.8999999999999995E-5</v>
      </c>
      <c r="G5">
        <v>1.55E-4</v>
      </c>
      <c r="H5">
        <v>4.0700000000000003E-4</v>
      </c>
      <c r="I5">
        <v>1.0251369863013701E-3</v>
      </c>
      <c r="J5">
        <v>9.2456521739130398E-4</v>
      </c>
      <c r="K5">
        <v>6.0061224489795905E-4</v>
      </c>
      <c r="L5">
        <v>1.7899232736572901E-3</v>
      </c>
      <c r="M5">
        <v>4.19605911330049E-4</v>
      </c>
      <c r="N5">
        <v>8.7298122065727695E-4</v>
      </c>
      <c r="O5">
        <v>1.11249326145553E-3</v>
      </c>
    </row>
    <row r="6" spans="1:15" x14ac:dyDescent="0.3">
      <c r="A6" t="s">
        <v>31</v>
      </c>
      <c r="B6">
        <v>0.17299999999999999</v>
      </c>
      <c r="C6">
        <v>0.11899999999999999</v>
      </c>
      <c r="D6">
        <v>1.4E-3</v>
      </c>
      <c r="E6">
        <v>3.8600000000000002E-2</v>
      </c>
      <c r="F6" s="1">
        <v>9.2999999999999997E-5</v>
      </c>
      <c r="G6">
        <v>1.9799999999999999E-4</v>
      </c>
      <c r="H6">
        <v>4.64E-4</v>
      </c>
      <c r="I6">
        <v>8.9077054794520596E-4</v>
      </c>
      <c r="J6">
        <v>1.05164596273292E-3</v>
      </c>
      <c r="K6">
        <v>3.79795918367347E-4</v>
      </c>
      <c r="L6">
        <v>4.66470588235294E-4</v>
      </c>
      <c r="M6">
        <v>1.23347290640394E-3</v>
      </c>
      <c r="N6">
        <v>9.2892018779342704E-4</v>
      </c>
      <c r="O6">
        <v>8.6886792452830195E-4</v>
      </c>
    </row>
    <row r="7" spans="1:15" x14ac:dyDescent="0.3">
      <c r="A7" t="s">
        <v>30</v>
      </c>
      <c r="B7">
        <v>0.20799999999999999</v>
      </c>
      <c r="C7">
        <v>0.191</v>
      </c>
      <c r="D7">
        <v>2.3E-3</v>
      </c>
      <c r="E7">
        <v>9.4899999999999998E-2</v>
      </c>
      <c r="F7">
        <v>2.1800000000000001E-4</v>
      </c>
      <c r="G7">
        <v>3.6099999999999999E-4</v>
      </c>
      <c r="H7">
        <v>8.2200000000000003E-4</v>
      </c>
      <c r="I7">
        <v>1.3864554794520501E-3</v>
      </c>
      <c r="J7">
        <v>1.9211180124223601E-3</v>
      </c>
      <c r="K7">
        <v>8.4469387755102001E-4</v>
      </c>
      <c r="L7">
        <v>8.5148337595907897E-4</v>
      </c>
      <c r="M7">
        <v>1.5430049261083701E-3</v>
      </c>
      <c r="N7">
        <v>1.67103286384977E-3</v>
      </c>
      <c r="O7">
        <v>1.2230727762803199E-3</v>
      </c>
    </row>
    <row r="8" spans="1:15" x14ac:dyDescent="0.3">
      <c r="A8" t="s">
        <v>29</v>
      </c>
      <c r="B8">
        <v>0.22900000000000001</v>
      </c>
      <c r="C8">
        <v>0.19500000000000001</v>
      </c>
      <c r="D8">
        <v>2.3999999999999998E-3</v>
      </c>
      <c r="E8">
        <v>4.53E-2</v>
      </c>
      <c r="F8" s="1">
        <v>8.8999999999999995E-5</v>
      </c>
      <c r="G8">
        <v>1.85E-4</v>
      </c>
      <c r="H8">
        <v>5.1400000000000003E-4</v>
      </c>
      <c r="I8">
        <v>1.4151883561643801E-3</v>
      </c>
      <c r="J8">
        <v>2.2635714285714299E-3</v>
      </c>
      <c r="K8">
        <v>6.41428571428571E-4</v>
      </c>
      <c r="L8">
        <v>5.9069053708439903E-4</v>
      </c>
      <c r="M8">
        <v>1.6297536945812799E-3</v>
      </c>
      <c r="N8">
        <v>1.90542253521127E-3</v>
      </c>
      <c r="O8">
        <v>1.1337331536388101E-3</v>
      </c>
    </row>
    <row r="9" spans="1:15" x14ac:dyDescent="0.3">
      <c r="A9" t="s">
        <v>28</v>
      </c>
      <c r="B9">
        <v>0.248</v>
      </c>
      <c r="C9">
        <v>0.36099999999999999</v>
      </c>
      <c r="D9">
        <v>4.7000000000000002E-3</v>
      </c>
      <c r="E9">
        <v>8.1900000000000001E-2</v>
      </c>
      <c r="F9">
        <v>2.52E-4</v>
      </c>
      <c r="G9">
        <v>4.5300000000000001E-4</v>
      </c>
      <c r="H9">
        <v>8.0099999999999995E-4</v>
      </c>
      <c r="I9">
        <v>2.2026712328767099E-3</v>
      </c>
      <c r="J9">
        <v>2.1071118012422401E-3</v>
      </c>
      <c r="K9">
        <v>1.16979591836735E-3</v>
      </c>
      <c r="L9">
        <v>3.16391304347826E-3</v>
      </c>
      <c r="M9">
        <v>1.47738916256158E-3</v>
      </c>
      <c r="N9">
        <v>1.90572769953052E-3</v>
      </c>
      <c r="O9">
        <v>2.3731536388140202E-3</v>
      </c>
    </row>
    <row r="10" spans="1:15" x14ac:dyDescent="0.3">
      <c r="A10" t="s">
        <v>27</v>
      </c>
      <c r="B10">
        <v>0.26800000000000002</v>
      </c>
      <c r="C10">
        <v>0.27800000000000002</v>
      </c>
      <c r="D10">
        <v>4.4000000000000003E-3</v>
      </c>
      <c r="E10">
        <v>0.15240000000000001</v>
      </c>
      <c r="F10">
        <v>2.7799999999999998E-4</v>
      </c>
      <c r="G10">
        <v>5.6899999999999995E-4</v>
      </c>
      <c r="H10">
        <v>1.3649999999999999E-3</v>
      </c>
      <c r="I10">
        <v>2.1459160958904101E-3</v>
      </c>
      <c r="J10">
        <v>3.35565217391304E-3</v>
      </c>
      <c r="K10">
        <v>1.22163265306122E-3</v>
      </c>
      <c r="L10">
        <v>1.0120716112532E-3</v>
      </c>
      <c r="M10">
        <v>2.3899753694581298E-3</v>
      </c>
      <c r="N10">
        <v>2.8556338028169E-3</v>
      </c>
      <c r="O10">
        <v>1.7384501347708901E-3</v>
      </c>
    </row>
    <row r="11" spans="1:15" x14ac:dyDescent="0.3">
      <c r="A11" t="s">
        <v>26</v>
      </c>
      <c r="B11">
        <v>0.27100000000000002</v>
      </c>
      <c r="C11">
        <v>0.252</v>
      </c>
      <c r="D11">
        <v>3.0999999999999999E-3</v>
      </c>
      <c r="E11">
        <v>4.65E-2</v>
      </c>
      <c r="F11" s="1">
        <v>1E-4</v>
      </c>
      <c r="G11">
        <v>2.34E-4</v>
      </c>
      <c r="H11">
        <v>6.4999999999999997E-4</v>
      </c>
      <c r="I11">
        <v>2.2515924657534199E-3</v>
      </c>
      <c r="J11">
        <v>4.43270186335404E-3</v>
      </c>
      <c r="K11">
        <v>1.0873469387755099E-3</v>
      </c>
      <c r="L11">
        <v>8.4184143222506397E-4</v>
      </c>
      <c r="M11">
        <v>2.0199261083743798E-3</v>
      </c>
      <c r="N11">
        <v>3.6580985915492998E-3</v>
      </c>
      <c r="O11">
        <v>1.44408355795148E-3</v>
      </c>
    </row>
    <row r="12" spans="1:15" x14ac:dyDescent="0.3">
      <c r="A12" t="s">
        <v>25</v>
      </c>
      <c r="B12">
        <v>0.28999999999999998</v>
      </c>
      <c r="C12">
        <v>0.36499999999999999</v>
      </c>
      <c r="D12">
        <v>6.0000000000000001E-3</v>
      </c>
      <c r="E12">
        <v>0.1321</v>
      </c>
      <c r="F12">
        <v>4.5800000000000002E-4</v>
      </c>
      <c r="G12">
        <v>7.3800000000000005E-4</v>
      </c>
      <c r="H12">
        <v>1.635E-3</v>
      </c>
      <c r="I12">
        <v>2.7021147260273999E-3</v>
      </c>
      <c r="J12">
        <v>2.61574534161491E-3</v>
      </c>
      <c r="K12">
        <v>1.3126530612244901E-3</v>
      </c>
      <c r="L12">
        <v>3.3681074168798002E-3</v>
      </c>
      <c r="M12">
        <v>2.29692118226601E-3</v>
      </c>
      <c r="N12">
        <v>2.3625821596244098E-3</v>
      </c>
      <c r="O12">
        <v>2.89704851752022E-3</v>
      </c>
    </row>
    <row r="13" spans="1:15" x14ac:dyDescent="0.3">
      <c r="A13" t="s">
        <v>24</v>
      </c>
      <c r="B13">
        <v>0.29899999999999999</v>
      </c>
      <c r="C13">
        <v>0.314</v>
      </c>
      <c r="D13">
        <v>4.8999999999999998E-3</v>
      </c>
      <c r="E13">
        <v>0.24529999999999999</v>
      </c>
      <c r="F13">
        <v>5.4600000000000004E-4</v>
      </c>
      <c r="G13">
        <v>9.2699999999999998E-4</v>
      </c>
      <c r="H13">
        <v>2.5699999999999998E-3</v>
      </c>
      <c r="I13">
        <v>2.28628424657534E-3</v>
      </c>
      <c r="J13">
        <v>4.3581366459627298E-3</v>
      </c>
      <c r="K13">
        <v>1.4320408163265299E-3</v>
      </c>
      <c r="L13">
        <v>9.7475703324808195E-4</v>
      </c>
      <c r="M13">
        <v>2.00926108374384E-3</v>
      </c>
      <c r="N13">
        <v>3.6277699530516401E-3</v>
      </c>
      <c r="O13">
        <v>1.5161051212938001E-3</v>
      </c>
    </row>
    <row r="14" spans="1:15" x14ac:dyDescent="0.3">
      <c r="A14" t="s">
        <v>23</v>
      </c>
      <c r="B14">
        <v>0.313</v>
      </c>
      <c r="C14">
        <v>0.21199999999999999</v>
      </c>
      <c r="D14">
        <v>2.5000000000000001E-3</v>
      </c>
      <c r="E14">
        <v>0.2069</v>
      </c>
      <c r="F14" s="1">
        <v>9.3999999999999994E-5</v>
      </c>
      <c r="G14">
        <v>2.7599999999999999E-3</v>
      </c>
      <c r="H14">
        <v>9.2160000000000002E-3</v>
      </c>
      <c r="I14">
        <v>2.7798544520547899E-3</v>
      </c>
      <c r="J14">
        <v>1.95127329192547E-3</v>
      </c>
      <c r="K14">
        <v>2.24122448979592E-3</v>
      </c>
      <c r="L14">
        <v>4.0199232736572903E-3</v>
      </c>
      <c r="M14">
        <v>2.3077586206896599E-3</v>
      </c>
      <c r="N14">
        <v>1.90298122065728E-3</v>
      </c>
      <c r="O14">
        <v>3.2832884097035E-3</v>
      </c>
    </row>
    <row r="15" spans="1:15" x14ac:dyDescent="0.3">
      <c r="A15" t="s">
        <v>22</v>
      </c>
      <c r="B15">
        <v>0.33300000000000002</v>
      </c>
      <c r="C15">
        <v>0.41599999999999998</v>
      </c>
      <c r="D15">
        <v>6.7999999999999996E-3</v>
      </c>
      <c r="E15">
        <v>0.2319</v>
      </c>
      <c r="F15">
        <v>5.8E-4</v>
      </c>
      <c r="G15">
        <v>9.8900000000000008E-4</v>
      </c>
      <c r="H15">
        <v>2.2000000000000001E-3</v>
      </c>
      <c r="I15">
        <v>3.2299486301369902E-3</v>
      </c>
      <c r="J15">
        <v>4.24341614906832E-3</v>
      </c>
      <c r="K15">
        <v>2.0038775510204101E-3</v>
      </c>
      <c r="L15">
        <v>3.59194373401535E-3</v>
      </c>
      <c r="M15">
        <v>2.22551724137931E-3</v>
      </c>
      <c r="N15">
        <v>3.69392018779343E-3</v>
      </c>
      <c r="O15">
        <v>2.96357142857143E-3</v>
      </c>
    </row>
    <row r="16" spans="1:15" x14ac:dyDescent="0.3">
      <c r="A16" t="s">
        <v>21</v>
      </c>
      <c r="B16">
        <v>0.35099999999999998</v>
      </c>
      <c r="C16">
        <v>0.41099999999999998</v>
      </c>
      <c r="D16">
        <v>5.4000000000000003E-3</v>
      </c>
      <c r="E16">
        <v>0.3024</v>
      </c>
      <c r="F16">
        <v>1.181E-3</v>
      </c>
      <c r="G16">
        <v>1.9070000000000001E-3</v>
      </c>
      <c r="H16">
        <v>4.078E-3</v>
      </c>
      <c r="I16">
        <v>3.5115582191780799E-3</v>
      </c>
      <c r="J16">
        <v>6.6590683229813697E-3</v>
      </c>
      <c r="K16">
        <v>1.59142857142857E-3</v>
      </c>
      <c r="L16">
        <v>1.7817647058823501E-3</v>
      </c>
      <c r="M16">
        <v>2.9128817733990102E-3</v>
      </c>
      <c r="N16">
        <v>5.42985915492958E-3</v>
      </c>
      <c r="O16">
        <v>2.4102156334231801E-3</v>
      </c>
    </row>
    <row r="17" spans="1:15" x14ac:dyDescent="0.3">
      <c r="A17" t="s">
        <v>20</v>
      </c>
      <c r="B17">
        <v>0.35599999999999998</v>
      </c>
      <c r="C17">
        <v>0.23599999999999999</v>
      </c>
      <c r="D17">
        <v>2.8999999999999998E-3</v>
      </c>
      <c r="E17">
        <v>1.2703</v>
      </c>
      <c r="F17">
        <v>2.1599999999999999E-4</v>
      </c>
      <c r="G17">
        <v>1.1656E-2</v>
      </c>
      <c r="H17">
        <v>4.3397999999999999E-2</v>
      </c>
      <c r="I17">
        <v>4.2809931506849301E-3</v>
      </c>
      <c r="J17">
        <v>3.8421739130434802E-3</v>
      </c>
      <c r="K17">
        <v>6.8461224489795901E-3</v>
      </c>
      <c r="L17">
        <v>4.4427877237851699E-3</v>
      </c>
      <c r="M17">
        <v>4.1636206896551696E-3</v>
      </c>
      <c r="N17">
        <v>3.9862441314554003E-3</v>
      </c>
      <c r="O17">
        <v>4.4502156334231798E-3</v>
      </c>
    </row>
    <row r="18" spans="1:15" x14ac:dyDescent="0.3">
      <c r="A18" t="s">
        <v>19</v>
      </c>
      <c r="B18">
        <v>0.37</v>
      </c>
      <c r="C18">
        <v>0.20599999999999999</v>
      </c>
      <c r="D18">
        <v>2.5999999999999999E-3</v>
      </c>
      <c r="E18">
        <v>0.20649999999999999</v>
      </c>
      <c r="F18" s="1">
        <v>4.0000000000000003E-5</v>
      </c>
      <c r="G18">
        <v>1.6119999999999999E-3</v>
      </c>
      <c r="H18">
        <v>7.2160000000000002E-3</v>
      </c>
      <c r="I18">
        <v>4.1313613013698597E-3</v>
      </c>
      <c r="J18">
        <v>2.0284161490683201E-3</v>
      </c>
      <c r="K18">
        <v>2.0936734693877599E-3</v>
      </c>
      <c r="L18">
        <v>4.0882352941176503E-3</v>
      </c>
      <c r="M18">
        <v>6.0866748768472903E-3</v>
      </c>
      <c r="N18">
        <v>2.1814084507042301E-3</v>
      </c>
      <c r="O18">
        <v>5.2508760107816696E-3</v>
      </c>
    </row>
    <row r="19" spans="1:15" x14ac:dyDescent="0.3">
      <c r="A19" t="s">
        <v>18</v>
      </c>
      <c r="B19">
        <v>0.376</v>
      </c>
      <c r="C19">
        <v>0.45700000000000002</v>
      </c>
      <c r="D19">
        <v>7.4000000000000003E-3</v>
      </c>
      <c r="E19">
        <v>0.27360000000000001</v>
      </c>
      <c r="F19">
        <v>7.85E-4</v>
      </c>
      <c r="G19">
        <v>1.5219999999999999E-3</v>
      </c>
      <c r="H19">
        <v>3.7880000000000001E-3</v>
      </c>
      <c r="I19">
        <v>4.1912157534246602E-3</v>
      </c>
      <c r="J19">
        <v>6.8506521739130398E-3</v>
      </c>
      <c r="K19">
        <v>2.5489795918367301E-3</v>
      </c>
      <c r="L19">
        <v>3.5430946291560099E-3</v>
      </c>
      <c r="M19">
        <v>2.9043842364532002E-3</v>
      </c>
      <c r="N19">
        <v>5.7754225352112699E-3</v>
      </c>
      <c r="O19">
        <v>3.2816846361186001E-3</v>
      </c>
    </row>
    <row r="20" spans="1:15" x14ac:dyDescent="0.3">
      <c r="A20" t="s">
        <v>17</v>
      </c>
      <c r="B20">
        <v>0.38400000000000001</v>
      </c>
      <c r="C20">
        <v>0.26800000000000002</v>
      </c>
      <c r="D20">
        <v>3.3E-3</v>
      </c>
      <c r="E20">
        <v>2.3069999999999999</v>
      </c>
      <c r="F20">
        <v>3.6299999999999999E-4</v>
      </c>
      <c r="G20">
        <v>2.2360000000000001E-2</v>
      </c>
      <c r="H20">
        <v>8.9885000000000007E-2</v>
      </c>
      <c r="I20">
        <v>5.3160530821917797E-3</v>
      </c>
      <c r="J20">
        <v>4.3271739130434804E-3</v>
      </c>
      <c r="K20">
        <v>9.9867346938775498E-3</v>
      </c>
      <c r="L20">
        <v>5.5315601023017899E-3</v>
      </c>
      <c r="M20">
        <v>5.3290886699507399E-3</v>
      </c>
      <c r="N20">
        <v>4.7785446009389696E-3</v>
      </c>
      <c r="O20">
        <v>5.62464959568733E-3</v>
      </c>
    </row>
    <row r="21" spans="1:15" x14ac:dyDescent="0.3">
      <c r="A21" t="s">
        <v>16</v>
      </c>
      <c r="B21">
        <v>0.42899999999999999</v>
      </c>
      <c r="C21">
        <v>0.254</v>
      </c>
      <c r="D21">
        <v>3.0999999999999999E-3</v>
      </c>
      <c r="E21">
        <v>1.8366</v>
      </c>
      <c r="F21">
        <v>1.4999999999999999E-4</v>
      </c>
      <c r="G21">
        <v>9.0340000000000004E-3</v>
      </c>
      <c r="H21">
        <v>3.6117999999999997E-2</v>
      </c>
      <c r="I21">
        <v>5.4949999999999999E-3</v>
      </c>
      <c r="J21">
        <v>4.5041614906832297E-3</v>
      </c>
      <c r="K21">
        <v>5.0714285714285696E-3</v>
      </c>
      <c r="L21">
        <v>5.4237851662404099E-3</v>
      </c>
      <c r="M21">
        <v>6.4005418719211803E-3</v>
      </c>
      <c r="N21">
        <v>4.3749061032863903E-3</v>
      </c>
      <c r="O21">
        <v>6.13807277628032E-3</v>
      </c>
    </row>
    <row r="22" spans="1:15" x14ac:dyDescent="0.3">
      <c r="A22" t="s">
        <v>15</v>
      </c>
      <c r="B22">
        <v>0.45800000000000002</v>
      </c>
      <c r="C22">
        <v>0.255</v>
      </c>
      <c r="D22">
        <v>3.0999999999999999E-3</v>
      </c>
      <c r="E22">
        <v>2.5676999999999999</v>
      </c>
      <c r="F22">
        <v>2.52E-4</v>
      </c>
      <c r="G22">
        <v>1.7776E-2</v>
      </c>
      <c r="H22">
        <v>7.3366000000000001E-2</v>
      </c>
      <c r="I22">
        <v>3.9816995708154496E-3</v>
      </c>
      <c r="J22">
        <v>3.6191277258567E-3</v>
      </c>
      <c r="K22">
        <v>6.71489795918367E-3</v>
      </c>
      <c r="L22">
        <v>3.0696153846153798E-3</v>
      </c>
      <c r="M22">
        <v>4.8166913580246903E-3</v>
      </c>
      <c r="N22">
        <v>3.9272941176470601E-3</v>
      </c>
      <c r="O22">
        <v>4.0129459459459496E-3</v>
      </c>
    </row>
  </sheetData>
  <autoFilter ref="A1:O22" xr:uid="{7378107C-142C-465F-B453-72D3EF7EE81A}">
    <sortState xmlns:xlrd2="http://schemas.microsoft.com/office/spreadsheetml/2017/richdata2" ref="A2:O22">
      <sortCondition ref="B1:B22"/>
    </sortState>
  </autoFilter>
  <conditionalFormatting sqref="H2:H2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psi_cpu_comparison</vt:lpstr>
      <vt:lpstr>psi_cpu_comparison_refactored_w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Johnathan Vicente</dc:creator>
  <cp:lastModifiedBy>Johnathan Vicente</cp:lastModifiedBy>
  <dcterms:created xsi:type="dcterms:W3CDTF">2026-06-10T18:35:10Z</dcterms:created>
  <dcterms:modified xsi:type="dcterms:W3CDTF">2026-06-24T15:52:03Z</dcterms:modified>
</cp:coreProperties>
</file>