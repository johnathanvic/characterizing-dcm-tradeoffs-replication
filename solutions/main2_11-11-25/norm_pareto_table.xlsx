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a\Documents\GitHub\dcm-for-design\solutions\main2_11-11-25\"/>
    </mc:Choice>
  </mc:AlternateContent>
  <xr:revisionPtr revIDLastSave="0" documentId="13_ncr:1_{74CFCD36-A318-48E7-8BBB-BBA5C286D8BC}" xr6:coauthVersionLast="47" xr6:coauthVersionMax="47" xr10:uidLastSave="{00000000-0000-0000-0000-000000000000}"/>
  <bookViews>
    <workbookView xWindow="28680" yWindow="-120" windowWidth="29040" windowHeight="15720" xr2:uid="{09AFB06D-DCED-4A0F-825C-4DB60A0BA106}"/>
  </bookViews>
  <sheets>
    <sheet name="norm_pareto_tabl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</calcChain>
</file>

<file path=xl/sharedStrings.xml><?xml version="1.0" encoding="utf-8"?>
<sst xmlns="http://schemas.openxmlformats.org/spreadsheetml/2006/main" count="29" uniqueCount="28">
  <si>
    <t>MNL</t>
  </si>
  <si>
    <t>NL</t>
  </si>
  <si>
    <t>LCL (2 cl.)</t>
  </si>
  <si>
    <t>LC-NL (2 cl.)</t>
  </si>
  <si>
    <t>LCL (4 cl.)</t>
  </si>
  <si>
    <t>LC-NL (4 cl.)</t>
  </si>
  <si>
    <t>LCL (6 cl.)</t>
  </si>
  <si>
    <t>LC-NL (6 cl.)</t>
  </si>
  <si>
    <t>LCL (8 cl.)</t>
  </si>
  <si>
    <t>LC-NL (8 cl.)</t>
  </si>
  <si>
    <t>MXL (Pref, 100 dr.)</t>
  </si>
  <si>
    <t>MXL (Pref, 500 dr.)</t>
  </si>
  <si>
    <t>MXL (Pref, 1k dr.)</t>
  </si>
  <si>
    <t>MXL (WTP, 100 dr.)</t>
  </si>
  <si>
    <t>MXL (WTP, 500 dr.)</t>
  </si>
  <si>
    <t>MXL (WTP, 1k dr.)</t>
  </si>
  <si>
    <t>Normalized Values</t>
  </si>
  <si>
    <t>Pred. Accuracy</t>
  </si>
  <si>
    <t>Subs. Inv.</t>
  </si>
  <si>
    <t>Comp. Cost</t>
  </si>
  <si>
    <t>Model</t>
  </si>
  <si>
    <t>Raw Mean Values</t>
  </si>
  <si>
    <t>Pred. Accuracy (AL)</t>
  </si>
  <si>
    <t>Subs. Inv. (psi')</t>
  </si>
  <si>
    <t>Comp. Cost  (CPU s)</t>
  </si>
  <si>
    <t>Pred. Accuracy (% diff. in AL vs random)</t>
  </si>
  <si>
    <t xml:space="preserve">Comp. Cost (Rel. to MNL) </t>
  </si>
  <si>
    <t>Relative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</si>
</sst>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6" fillId="33" borderId="12" xfId="0" applyFont="1" applyFill="1" applyBorder="1" applyAlignment="1">
      <alignment horizontal="center" wrapText="1"/>
    </xf>
    <xf numFmtId="0" fontId="16" fillId="33" borderId="14" xfId="0" applyFont="1" applyFill="1" applyBorder="1" applyAlignment="1">
      <alignment horizontal="center" wrapText="1"/>
    </xf>
    <xf numFmtId="2" fontId="0" fillId="0" borderId="13" xfId="0" applyNumberFormat="1" applyBorder="1"/>
    <xf numFmtId="2" fontId="0" fillId="0" borderId="10" xfId="0" applyNumberFormat="1" applyBorder="1"/>
    <xf numFmtId="2" fontId="0" fillId="0" borderId="14" xfId="0" applyNumberFormat="1" applyBorder="1"/>
    <xf numFmtId="2" fontId="0" fillId="0" borderId="0" xfId="0" applyNumberFormat="1"/>
    <xf numFmtId="2" fontId="0" fillId="0" borderId="15" xfId="0" applyNumberFormat="1" applyBorder="1"/>
    <xf numFmtId="2" fontId="0" fillId="0" borderId="16" xfId="0" applyNumberFormat="1" applyBorder="1"/>
    <xf numFmtId="0" fontId="16" fillId="33" borderId="0" xfId="0" applyFont="1" applyFill="1" applyAlignment="1">
      <alignment horizontal="center" wrapText="1"/>
    </xf>
    <xf numFmtId="2" fontId="0" fillId="0" borderId="12" xfId="0" applyNumberFormat="1" applyBorder="1"/>
    <xf numFmtId="2" fontId="0" fillId="0" borderId="17" xfId="0" applyNumberFormat="1" applyBorder="1"/>
    <xf numFmtId="2" fontId="0" fillId="0" borderId="11" xfId="0" applyNumberFormat="1" applyBorder="1"/>
    <xf numFmtId="0" fontId="16" fillId="33" borderId="13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0" xfId="0" applyFont="1" applyFill="1" applyBorder="1" applyAlignment="1">
      <alignment horizontal="center" wrapText="1"/>
    </xf>
    <xf numFmtId="0" fontId="16" fillId="33" borderId="15" xfId="0" applyFont="1" applyFill="1" applyBorder="1" applyAlignment="1">
      <alignment horizontal="center" wrapText="1"/>
    </xf>
    <xf numFmtId="0" fontId="16" fillId="33" borderId="16" xfId="0" applyFont="1" applyFill="1" applyBorder="1" applyAlignment="1">
      <alignment horizontal="center" wrapText="1"/>
    </xf>
    <xf numFmtId="0" fontId="16" fillId="33" borderId="17" xfId="0" applyFont="1" applyFill="1" applyBorder="1" applyAlignment="1">
      <alignment horizontal="center" wrapText="1"/>
    </xf>
    <xf numFmtId="0" fontId="16" fillId="33" borderId="14" xfId="0" applyFont="1" applyFill="1" applyBorder="1"/>
    <xf numFmtId="2" fontId="0" fillId="33" borderId="13" xfId="0" applyNumberFormat="1" applyFill="1" applyBorder="1"/>
    <xf numFmtId="2" fontId="0" fillId="33" borderId="10" xfId="0" applyNumberFormat="1" applyFill="1" applyBorder="1"/>
    <xf numFmtId="164" fontId="0" fillId="33" borderId="11" xfId="0" applyNumberFormat="1" applyFill="1" applyBorder="1"/>
    <xf numFmtId="2" fontId="0" fillId="33" borderId="14" xfId="0" applyNumberFormat="1" applyFill="1" applyBorder="1"/>
    <xf numFmtId="2" fontId="0" fillId="33" borderId="0" xfId="0" applyNumberFormat="1" applyFill="1" applyBorder="1"/>
    <xf numFmtId="164" fontId="0" fillId="33" borderId="12" xfId="0" applyNumberFormat="1" applyFill="1" applyBorder="1"/>
    <xf numFmtId="0" fontId="16" fillId="33" borderId="15" xfId="0" applyFont="1" applyFill="1" applyBorder="1"/>
    <xf numFmtId="2" fontId="0" fillId="33" borderId="15" xfId="0" applyNumberFormat="1" applyFill="1" applyBorder="1"/>
    <xf numFmtId="2" fontId="0" fillId="33" borderId="16" xfId="0" applyNumberFormat="1" applyFill="1" applyBorder="1"/>
    <xf numFmtId="164" fontId="0" fillId="33" borderId="17" xfId="0" applyNumberFormat="1" applyFill="1" applyBorder="1"/>
    <xf numFmtId="0" fontId="16" fillId="33" borderId="18" xfId="0" applyFont="1" applyFill="1" applyBorder="1" applyAlignment="1">
      <alignment horizontal="center"/>
    </xf>
    <xf numFmtId="0" fontId="16" fillId="33" borderId="19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15</xdr:col>
      <xdr:colOff>525780</xdr:colOff>
      <xdr:row>25</xdr:row>
      <xdr:rowOff>7620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8425A1-D8AA-9F5E-3873-C2B5FE75C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4960" y="1280160"/>
          <a:ext cx="4792980" cy="403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63AA-E3DE-4354-910A-C9FE6F5A2E7D}">
  <dimension ref="A1:O18"/>
  <sheetViews>
    <sheetView tabSelected="1" workbookViewId="0">
      <selection activeCell="I4" sqref="I4"/>
    </sheetView>
  </sheetViews>
  <sheetFormatPr defaultRowHeight="14.4" x14ac:dyDescent="0.3"/>
  <cols>
    <col min="1" max="1" width="16.44140625" bestFit="1" customWidth="1"/>
  </cols>
  <sheetData>
    <row r="1" spans="1:15" x14ac:dyDescent="0.3">
      <c r="A1" s="31" t="s">
        <v>20</v>
      </c>
      <c r="B1" s="13" t="s">
        <v>21</v>
      </c>
      <c r="C1" s="14"/>
      <c r="D1" s="14"/>
      <c r="E1" s="13" t="s">
        <v>27</v>
      </c>
      <c r="F1" s="14"/>
      <c r="G1" s="15"/>
      <c r="M1" s="13" t="s">
        <v>16</v>
      </c>
      <c r="N1" s="14"/>
      <c r="O1" s="15"/>
    </row>
    <row r="2" spans="1:15" ht="72" x14ac:dyDescent="0.3">
      <c r="A2" s="32"/>
      <c r="B2" s="2" t="s">
        <v>22</v>
      </c>
      <c r="C2" s="16" t="s">
        <v>23</v>
      </c>
      <c r="D2" s="16" t="s">
        <v>24</v>
      </c>
      <c r="E2" s="17" t="s">
        <v>25</v>
      </c>
      <c r="F2" s="18" t="s">
        <v>23</v>
      </c>
      <c r="G2" s="19" t="s">
        <v>26</v>
      </c>
      <c r="M2" s="2" t="s">
        <v>17</v>
      </c>
      <c r="N2" s="9" t="s">
        <v>18</v>
      </c>
      <c r="O2" s="1" t="s">
        <v>19</v>
      </c>
    </row>
    <row r="3" spans="1:15" x14ac:dyDescent="0.3">
      <c r="A3" s="20" t="s">
        <v>0</v>
      </c>
      <c r="B3" s="21">
        <v>0.42313893634726402</v>
      </c>
      <c r="C3" s="22">
        <v>0</v>
      </c>
      <c r="D3" s="22">
        <v>4.6370000000003301E-3</v>
      </c>
      <c r="E3" s="22">
        <f>(B3-0.33)/0.33</f>
        <v>0.28223920105231515</v>
      </c>
      <c r="F3" s="22">
        <v>0</v>
      </c>
      <c r="G3" s="23">
        <v>1</v>
      </c>
      <c r="M3" s="3">
        <v>0</v>
      </c>
      <c r="N3" s="4">
        <v>0</v>
      </c>
      <c r="O3" s="12">
        <v>0</v>
      </c>
    </row>
    <row r="4" spans="1:15" x14ac:dyDescent="0.3">
      <c r="A4" s="20" t="s">
        <v>1</v>
      </c>
      <c r="B4" s="24">
        <v>0.42484396395431701</v>
      </c>
      <c r="C4" s="25">
        <v>0.15645780684226501</v>
      </c>
      <c r="D4" s="25">
        <v>3.8993333333332901E-2</v>
      </c>
      <c r="E4" s="25">
        <f>(B4-0.33)/0.33</f>
        <v>0.28740595137671815</v>
      </c>
      <c r="F4" s="25">
        <v>0.15645780684226501</v>
      </c>
      <c r="G4" s="26">
        <v>8.4091725972245399</v>
      </c>
      <c r="M4" s="5">
        <v>2.99107289553006E-2</v>
      </c>
      <c r="N4" s="6">
        <v>0.34195705189161502</v>
      </c>
      <c r="O4" s="10">
        <v>1.3894374765941899E-2</v>
      </c>
    </row>
    <row r="5" spans="1:15" x14ac:dyDescent="0.3">
      <c r="A5" s="20" t="s">
        <v>2</v>
      </c>
      <c r="B5" s="24">
        <v>0.43882803824407102</v>
      </c>
      <c r="C5" s="25">
        <v>6.8641761429003897E-2</v>
      </c>
      <c r="D5" s="25">
        <v>3.3320999999999698E-2</v>
      </c>
      <c r="E5" s="25">
        <f>(B5-0.33)/0.33</f>
        <v>0.32978193407294243</v>
      </c>
      <c r="F5" s="25">
        <v>6.8641761429003897E-2</v>
      </c>
      <c r="G5" s="26">
        <v>7.1858960534822902</v>
      </c>
      <c r="M5" s="5">
        <v>0.27522866635478699</v>
      </c>
      <c r="N5" s="6">
        <v>0.150024692590597</v>
      </c>
      <c r="O5" s="10">
        <v>1.1600371958191399E-2</v>
      </c>
    </row>
    <row r="6" spans="1:15" x14ac:dyDescent="0.3">
      <c r="A6" s="20" t="s">
        <v>3</v>
      </c>
      <c r="B6" s="24">
        <v>0.44071265213091698</v>
      </c>
      <c r="C6" s="25">
        <v>0.24755339267332699</v>
      </c>
      <c r="D6" s="25">
        <v>9.5833000000000099E-2</v>
      </c>
      <c r="E6" s="25">
        <f>(B6-0.33)/0.33</f>
        <v>0.33549288524520293</v>
      </c>
      <c r="F6" s="25">
        <v>0.24755339267332699</v>
      </c>
      <c r="G6" s="26">
        <v>20.667026094456201</v>
      </c>
      <c r="M6" s="5">
        <v>0.30828981734241201</v>
      </c>
      <c r="N6" s="6">
        <v>0.5410572348728</v>
      </c>
      <c r="O6" s="10">
        <v>3.6881450324196097E-2</v>
      </c>
    </row>
    <row r="7" spans="1:15" x14ac:dyDescent="0.3">
      <c r="A7" s="20" t="s">
        <v>4</v>
      </c>
      <c r="B7" s="24">
        <v>0.46223850563560698</v>
      </c>
      <c r="C7" s="25">
        <v>0.172710148955495</v>
      </c>
      <c r="D7" s="25">
        <v>4.1136333333333303E-2</v>
      </c>
      <c r="E7" s="25">
        <f>(B7-0.33)/0.33</f>
        <v>0.40072274435032412</v>
      </c>
      <c r="F7" s="25">
        <v>0.172710148955495</v>
      </c>
      <c r="G7" s="26">
        <v>8.8713248508368299</v>
      </c>
      <c r="M7" s="5">
        <v>0.68591066468039197</v>
      </c>
      <c r="N7" s="6">
        <v>0.37747846886365</v>
      </c>
      <c r="O7" s="10">
        <v>1.47610459800825E-2</v>
      </c>
    </row>
    <row r="8" spans="1:15" x14ac:dyDescent="0.3">
      <c r="A8" s="20" t="s">
        <v>5</v>
      </c>
      <c r="B8" s="24">
        <v>0.46261601393290702</v>
      </c>
      <c r="C8" s="25">
        <v>0.290426408719346</v>
      </c>
      <c r="D8" s="25">
        <v>0.16017600000000001</v>
      </c>
      <c r="E8" s="25">
        <f>(B8-0.33)/0.33</f>
        <v>0.40186670888759696</v>
      </c>
      <c r="F8" s="25">
        <v>0.290426408719346</v>
      </c>
      <c r="G8" s="26">
        <v>34.543023506575103</v>
      </c>
      <c r="M8" s="5">
        <v>0.69253316645819196</v>
      </c>
      <c r="N8" s="6">
        <v>0.63476128498503803</v>
      </c>
      <c r="O8" s="10">
        <v>6.2903020987490094E-2</v>
      </c>
    </row>
    <row r="9" spans="1:15" x14ac:dyDescent="0.3">
      <c r="A9" s="20" t="s">
        <v>6</v>
      </c>
      <c r="B9" s="24">
        <v>0.46779635047562201</v>
      </c>
      <c r="C9" s="25">
        <v>0.22910053829851701</v>
      </c>
      <c r="D9" s="25">
        <v>4.7693333333333102E-2</v>
      </c>
      <c r="E9" s="25">
        <f>(B9-0.33)/0.33</f>
        <v>0.41756469841097571</v>
      </c>
      <c r="F9" s="25">
        <v>0.22910053829851701</v>
      </c>
      <c r="G9" s="26">
        <v>10.2853856660189</v>
      </c>
      <c r="M9" s="5">
        <v>0.78341007753305703</v>
      </c>
      <c r="N9" s="6">
        <v>0.50072633794697796</v>
      </c>
      <c r="O9" s="10">
        <v>1.7412825331981099E-2</v>
      </c>
    </row>
    <row r="10" spans="1:15" x14ac:dyDescent="0.3">
      <c r="A10" s="20" t="s">
        <v>7</v>
      </c>
      <c r="B10" s="24">
        <v>0.47082602245184801</v>
      </c>
      <c r="C10" s="25">
        <v>0.33317764759309698</v>
      </c>
      <c r="D10" s="25">
        <v>0.24562666666666599</v>
      </c>
      <c r="E10" s="25">
        <f>(B10-0.33)/0.33</f>
        <v>0.42674552258135756</v>
      </c>
      <c r="F10" s="25">
        <v>0.33317764759309698</v>
      </c>
      <c r="G10" s="26">
        <v>52.9710301200451</v>
      </c>
      <c r="M10" s="5">
        <v>0.83655859954494405</v>
      </c>
      <c r="N10" s="6">
        <v>0.72819917667631495</v>
      </c>
      <c r="O10" s="10">
        <v>9.7460945872749394E-2</v>
      </c>
    </row>
    <row r="11" spans="1:15" x14ac:dyDescent="0.3">
      <c r="A11" s="20" t="s">
        <v>8</v>
      </c>
      <c r="B11" s="24">
        <v>0.46958735675063501</v>
      </c>
      <c r="C11" s="25">
        <v>0.27075233666363901</v>
      </c>
      <c r="D11" s="25">
        <v>5.39486666666672E-2</v>
      </c>
      <c r="E11" s="25">
        <f>(B11-0.33)/0.33</f>
        <v>0.42299199015343936</v>
      </c>
      <c r="F11" s="25">
        <v>0.27075233666363901</v>
      </c>
      <c r="G11" s="26">
        <v>11.634390051038</v>
      </c>
      <c r="M11" s="5">
        <v>0.81482910149931498</v>
      </c>
      <c r="N11" s="6">
        <v>0.59176127230011399</v>
      </c>
      <c r="O11" s="10">
        <v>1.9942604769617098E-2</v>
      </c>
    </row>
    <row r="12" spans="1:15" x14ac:dyDescent="0.3">
      <c r="A12" s="20" t="s">
        <v>9</v>
      </c>
      <c r="B12" s="24">
        <v>0.47102719663505999</v>
      </c>
      <c r="C12" s="25">
        <v>0.37578554647290302</v>
      </c>
      <c r="D12" s="25">
        <v>0.32637433333333299</v>
      </c>
      <c r="E12" s="25">
        <f>(B12-0.33)/0.33</f>
        <v>0.42735514131836355</v>
      </c>
      <c r="F12" s="25">
        <v>0.37578554647290302</v>
      </c>
      <c r="G12" s="26">
        <v>70.384803392993405</v>
      </c>
      <c r="M12" s="5">
        <v>0.84008773094547995</v>
      </c>
      <c r="N12" s="6">
        <v>0.82132378184813304</v>
      </c>
      <c r="O12" s="10">
        <v>0.130116885354321</v>
      </c>
    </row>
    <row r="13" spans="1:15" x14ac:dyDescent="0.3">
      <c r="A13" s="20" t="s">
        <v>10</v>
      </c>
      <c r="B13" s="24">
        <v>0.46986023911701602</v>
      </c>
      <c r="C13" s="25">
        <v>0.37017845413260703</v>
      </c>
      <c r="D13" s="25">
        <v>0.29257866666666699</v>
      </c>
      <c r="E13" s="25">
        <f>(B13-0.33)/0.33</f>
        <v>0.42381890641519998</v>
      </c>
      <c r="F13" s="25">
        <v>0.37017845413260703</v>
      </c>
      <c r="G13" s="26">
        <v>63.096542304646597</v>
      </c>
      <c r="M13" s="5">
        <v>0.81961618556981997</v>
      </c>
      <c r="N13" s="6">
        <v>0.80906881800152297</v>
      </c>
      <c r="O13" s="10">
        <v>0.11644925518041301</v>
      </c>
    </row>
    <row r="14" spans="1:15" x14ac:dyDescent="0.3">
      <c r="A14" s="20" t="s">
        <v>11</v>
      </c>
      <c r="B14" s="24">
        <v>0.47885810133108497</v>
      </c>
      <c r="C14" s="25">
        <v>0.42898606267029998</v>
      </c>
      <c r="D14" s="25">
        <v>1.5252509999999999</v>
      </c>
      <c r="E14" s="25">
        <f>(B14-0.33)/0.33</f>
        <v>0.45108515554874229</v>
      </c>
      <c r="F14" s="25">
        <v>0.42898606267029998</v>
      </c>
      <c r="G14" s="26">
        <v>328.93055855076398</v>
      </c>
      <c r="M14" s="5">
        <v>0.97746267248226504</v>
      </c>
      <c r="N14" s="6">
        <v>0.93759980568575896</v>
      </c>
      <c r="O14" s="10">
        <v>0.61496611368127196</v>
      </c>
    </row>
    <row r="15" spans="1:15" x14ac:dyDescent="0.3">
      <c r="A15" s="20" t="s">
        <v>12</v>
      </c>
      <c r="B15" s="24">
        <v>0.48014281644666701</v>
      </c>
      <c r="C15" s="25">
        <v>0.45753642446261</v>
      </c>
      <c r="D15" s="25">
        <v>2.4773163333333299</v>
      </c>
      <c r="E15" s="25">
        <f>(B15-0.33)/0.33</f>
        <v>0.45497823165656665</v>
      </c>
      <c r="F15" s="25">
        <v>0.45753642446261</v>
      </c>
      <c r="G15" s="26">
        <v>534.24980231467805</v>
      </c>
      <c r="M15" s="5">
        <v>1</v>
      </c>
      <c r="N15" s="6">
        <v>1</v>
      </c>
      <c r="O15" s="10">
        <v>1</v>
      </c>
    </row>
    <row r="16" spans="1:15" x14ac:dyDescent="0.3">
      <c r="A16" s="20" t="s">
        <v>13</v>
      </c>
      <c r="B16" s="24">
        <v>0.46039247487329898</v>
      </c>
      <c r="C16" s="25">
        <v>0.31284276627308499</v>
      </c>
      <c r="D16" s="25">
        <v>0.27815333333333397</v>
      </c>
      <c r="E16" s="25">
        <f>(B16-0.33)/0.33</f>
        <v>0.3951287117372696</v>
      </c>
      <c r="F16" s="25">
        <v>0.31284276627308499</v>
      </c>
      <c r="G16" s="26">
        <v>59.985622888357597</v>
      </c>
      <c r="M16" s="5">
        <v>0.65352636453997204</v>
      </c>
      <c r="N16" s="6">
        <v>0.68375488714483901</v>
      </c>
      <c r="O16" s="10">
        <v>0.110615367567543</v>
      </c>
    </row>
    <row r="17" spans="1:15" x14ac:dyDescent="0.3">
      <c r="A17" s="20" t="s">
        <v>14</v>
      </c>
      <c r="B17" s="24">
        <v>0.46496776148311197</v>
      </c>
      <c r="C17" s="25">
        <v>0.355594660006055</v>
      </c>
      <c r="D17" s="25">
        <v>1.2921433333333301</v>
      </c>
      <c r="E17" s="25">
        <f>(B17-0.33)/0.33</f>
        <v>0.40899321661549076</v>
      </c>
      <c r="F17" s="25">
        <v>0.355594660006055</v>
      </c>
      <c r="G17" s="26">
        <v>278.65933433971202</v>
      </c>
      <c r="M17" s="5">
        <v>0.733789087039457</v>
      </c>
      <c r="N17" s="6">
        <v>0.77719421010843404</v>
      </c>
      <c r="O17" s="10">
        <v>0.52069280313743405</v>
      </c>
    </row>
    <row r="18" spans="1:15" x14ac:dyDescent="0.3">
      <c r="A18" s="27" t="s">
        <v>15</v>
      </c>
      <c r="B18" s="28">
        <v>0.465896887554336</v>
      </c>
      <c r="C18" s="29">
        <v>0.38386498213745102</v>
      </c>
      <c r="D18" s="29">
        <v>2.3750443333333302</v>
      </c>
      <c r="E18" s="29">
        <f>(B18-0.33)/0.33</f>
        <v>0.41180875016465451</v>
      </c>
      <c r="F18" s="29">
        <v>0.38386498213745102</v>
      </c>
      <c r="G18" s="30">
        <v>512.19416289263904</v>
      </c>
      <c r="M18" s="7">
        <v>0.75008843490147303</v>
      </c>
      <c r="N18" s="8">
        <v>0.83898234460417398</v>
      </c>
      <c r="O18" s="11">
        <v>0.95863919812759002</v>
      </c>
    </row>
  </sheetData>
  <mergeCells count="4">
    <mergeCell ref="M1:O1"/>
    <mergeCell ref="A1:A2"/>
    <mergeCell ref="B1:D1"/>
    <mergeCell ref="E1:G1"/>
  </mergeCells>
  <conditionalFormatting sqref="B3:B1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1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M1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norm_pareto_table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Johnathan Vicente</dc:creator>
  <cp:lastModifiedBy>Johnathan Vicente</cp:lastModifiedBy>
  <dcterms:created xsi:type="dcterms:W3CDTF">2026-01-30T22:55:07Z</dcterms:created>
  <dcterms:modified xsi:type="dcterms:W3CDTF">2026-02-04T23:50:20Z</dcterms:modified>
</cp:coreProperties>
</file>